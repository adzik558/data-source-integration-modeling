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zik\Desktop\"/>
    </mc:Choice>
  </mc:AlternateContent>
  <xr:revisionPtr revIDLastSave="0" documentId="13_ncr:1_{2541EC0F-B2E2-4CD4-AE4F-2329E00FA67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PIS" sheetId="1" r:id="rId1"/>
    <sheet name="TABL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1" i="2" l="1"/>
  <c r="G365" i="2" l="1"/>
  <c r="I355" i="2"/>
  <c r="D357" i="2"/>
  <c r="D358" i="2"/>
  <c r="D359" i="2"/>
  <c r="D360" i="2"/>
  <c r="D361" i="2"/>
  <c r="D362" i="2"/>
  <c r="D363" i="2"/>
  <c r="D364" i="2"/>
  <c r="D365" i="2"/>
  <c r="D366" i="2"/>
  <c r="D356" i="2"/>
  <c r="N325" i="2"/>
  <c r="N321" i="2"/>
  <c r="N320" i="2"/>
  <c r="B331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E320" i="2"/>
  <c r="E321" i="2"/>
  <c r="E322" i="2"/>
  <c r="E323" i="2"/>
  <c r="E324" i="2"/>
  <c r="E325" i="2"/>
  <c r="E326" i="2"/>
  <c r="E327" i="2"/>
  <c r="E328" i="2"/>
  <c r="E329" i="2"/>
  <c r="E330" i="2"/>
  <c r="E319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I304" i="2"/>
  <c r="I303" i="2"/>
  <c r="H289" i="2"/>
  <c r="H290" i="2"/>
  <c r="H291" i="2"/>
  <c r="H292" i="2"/>
  <c r="H293" i="2"/>
  <c r="H288" i="2"/>
  <c r="C302" i="2"/>
  <c r="B302" i="2"/>
  <c r="J289" i="2" s="1"/>
  <c r="B289" i="2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P274" i="2"/>
  <c r="P272" i="2"/>
  <c r="P271" i="2"/>
  <c r="J268" i="2"/>
  <c r="J269" i="2"/>
  <c r="J270" i="2"/>
  <c r="J271" i="2"/>
  <c r="J272" i="2"/>
  <c r="J267" i="2"/>
  <c r="H268" i="2"/>
  <c r="H269" i="2"/>
  <c r="H270" i="2"/>
  <c r="H271" i="2"/>
  <c r="H272" i="2"/>
  <c r="H267" i="2"/>
  <c r="C268" i="2"/>
  <c r="C269" i="2"/>
  <c r="C270" i="2"/>
  <c r="C271" i="2"/>
  <c r="C272" i="2"/>
  <c r="C273" i="2"/>
  <c r="C274" i="2"/>
  <c r="C275" i="2"/>
  <c r="C276" i="2"/>
  <c r="C277" i="2"/>
  <c r="C278" i="2"/>
  <c r="C267" i="2"/>
  <c r="E260" i="2"/>
  <c r="E259" i="2"/>
  <c r="E258" i="2"/>
  <c r="E257" i="2"/>
  <c r="E256" i="2"/>
  <c r="E254" i="2"/>
  <c r="L221" i="2"/>
  <c r="E227" i="2"/>
  <c r="U200" i="2"/>
  <c r="M202" i="2"/>
  <c r="M203" i="2"/>
  <c r="M204" i="2"/>
  <c r="M205" i="2"/>
  <c r="M206" i="2"/>
  <c r="M207" i="2"/>
  <c r="M208" i="2"/>
  <c r="M209" i="2"/>
  <c r="M210" i="2"/>
  <c r="M211" i="2"/>
  <c r="M212" i="2"/>
  <c r="M201" i="2"/>
  <c r="I202" i="2"/>
  <c r="I203" i="2"/>
  <c r="I204" i="2"/>
  <c r="I205" i="2"/>
  <c r="I206" i="2"/>
  <c r="I207" i="2"/>
  <c r="I208" i="2"/>
  <c r="I209" i="2"/>
  <c r="I210" i="2"/>
  <c r="I211" i="2"/>
  <c r="I212" i="2"/>
  <c r="B202" i="2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T156" i="2"/>
  <c r="Q156" i="2"/>
  <c r="I305" i="2" l="1"/>
  <c r="I354" i="2"/>
  <c r="I357" i="2" s="1"/>
  <c r="N212" i="2"/>
  <c r="P266" i="2"/>
  <c r="N204" i="2"/>
  <c r="N203" i="2"/>
  <c r="N206" i="2"/>
  <c r="N207" i="2"/>
  <c r="N201" i="2"/>
  <c r="N205" i="2"/>
  <c r="P267" i="2"/>
  <c r="C331" i="2"/>
  <c r="P273" i="2"/>
  <c r="G331" i="2"/>
  <c r="N318" i="2" s="1"/>
  <c r="N210" i="2"/>
  <c r="N202" i="2"/>
  <c r="N209" i="2"/>
  <c r="N211" i="2"/>
  <c r="N208" i="2"/>
  <c r="E331" i="2"/>
  <c r="J295" i="2"/>
  <c r="E297" i="2"/>
  <c r="J299" i="2"/>
  <c r="J291" i="2"/>
  <c r="E294" i="2"/>
  <c r="J296" i="2"/>
  <c r="E293" i="2"/>
  <c r="E288" i="2"/>
  <c r="E292" i="2"/>
  <c r="J294" i="2"/>
  <c r="E299" i="2"/>
  <c r="E291" i="2"/>
  <c r="J293" i="2"/>
  <c r="E298" i="2"/>
  <c r="E289" i="2"/>
  <c r="J288" i="2"/>
  <c r="J292" i="2"/>
  <c r="E296" i="2"/>
  <c r="J298" i="2"/>
  <c r="J290" i="2"/>
  <c r="E290" i="2"/>
  <c r="E295" i="2"/>
  <c r="J297" i="2"/>
  <c r="M213" i="2"/>
  <c r="N322" i="2" l="1"/>
  <c r="N323" i="2"/>
  <c r="J300" i="2"/>
  <c r="D302" i="2"/>
  <c r="N324" i="2" l="1"/>
  <c r="R138" i="2" a="1"/>
  <c r="R138" i="2" s="1"/>
  <c r="K130" i="2" a="1"/>
  <c r="K130" i="2" s="1"/>
  <c r="R143" i="2" l="1"/>
  <c r="R142" i="2"/>
  <c r="R141" i="2"/>
  <c r="R140" i="2"/>
  <c r="R139" i="2"/>
  <c r="P133" i="2"/>
  <c r="K135" i="2"/>
  <c r="O133" i="2"/>
  <c r="M132" i="2"/>
  <c r="K131" i="2"/>
  <c r="L131" i="2"/>
  <c r="P134" i="2"/>
  <c r="N133" i="2"/>
  <c r="L132" i="2"/>
  <c r="P130" i="2"/>
  <c r="N132" i="2"/>
  <c r="O134" i="2"/>
  <c r="M133" i="2"/>
  <c r="K132" i="2"/>
  <c r="O130" i="2"/>
  <c r="P135" i="2"/>
  <c r="N134" i="2"/>
  <c r="L133" i="2"/>
  <c r="P131" i="2"/>
  <c r="N130" i="2"/>
  <c r="O135" i="2"/>
  <c r="M134" i="2"/>
  <c r="K133" i="2"/>
  <c r="O131" i="2"/>
  <c r="M130" i="2"/>
  <c r="L135" i="2"/>
  <c r="N135" i="2"/>
  <c r="L134" i="2"/>
  <c r="P132" i="2"/>
  <c r="N131" i="2"/>
  <c r="L130" i="2"/>
  <c r="M135" i="2"/>
  <c r="K134" i="2"/>
  <c r="O132" i="2"/>
  <c r="M131" i="2"/>
  <c r="K138" i="2" l="1" a="1"/>
  <c r="K138" i="2" s="1"/>
  <c r="P141" i="2" l="1"/>
  <c r="K142" i="2"/>
  <c r="M143" i="2"/>
  <c r="N142" i="2"/>
  <c r="N141" i="2"/>
  <c r="P139" i="2"/>
  <c r="O139" i="2"/>
  <c r="L140" i="2"/>
  <c r="K143" i="2"/>
  <c r="M141" i="2"/>
  <c r="L141" i="2"/>
  <c r="L138" i="2"/>
  <c r="K141" i="2"/>
  <c r="O140" i="2"/>
  <c r="P142" i="2"/>
  <c r="L143" i="2"/>
  <c r="P143" i="2"/>
  <c r="M138" i="2"/>
  <c r="K139" i="2"/>
  <c r="O142" i="2"/>
  <c r="K140" i="2"/>
  <c r="N139" i="2"/>
  <c r="L139" i="2"/>
  <c r="M139" i="2"/>
  <c r="N138" i="2"/>
  <c r="O141" i="2"/>
  <c r="P140" i="2"/>
  <c r="O138" i="2"/>
  <c r="M140" i="2"/>
  <c r="M142" i="2"/>
  <c r="P138" i="2"/>
  <c r="L142" i="2"/>
  <c r="O143" i="2"/>
  <c r="N143" i="2"/>
  <c r="N140" i="2"/>
  <c r="T138" i="2" l="1" a="1"/>
  <c r="T138" i="2" s="1"/>
  <c r="T139" i="2" l="1"/>
  <c r="T141" i="2"/>
  <c r="T143" i="2"/>
  <c r="T140" i="2"/>
  <c r="T142" i="2"/>
  <c r="J207" i="2" l="1"/>
  <c r="K207" i="2" s="1"/>
  <c r="J204" i="2"/>
  <c r="K204" i="2" s="1"/>
  <c r="J201" i="2" l="1"/>
  <c r="K201" i="2" s="1"/>
  <c r="J206" i="2"/>
  <c r="K206" i="2" s="1"/>
  <c r="J212" i="2"/>
  <c r="K212" i="2" s="1"/>
  <c r="J211" i="2"/>
  <c r="K211" i="2" s="1"/>
  <c r="J203" i="2"/>
  <c r="K203" i="2" s="1"/>
  <c r="J209" i="2"/>
  <c r="K209" i="2" s="1"/>
  <c r="J208" i="2"/>
  <c r="K208" i="2" s="1"/>
  <c r="J202" i="2"/>
  <c r="K202" i="2" s="1"/>
  <c r="J210" i="2"/>
  <c r="K210" i="2" s="1"/>
  <c r="J205" i="2"/>
  <c r="K205" i="2" s="1"/>
  <c r="K213" i="2" l="1"/>
  <c r="N213" i="2"/>
  <c r="M31" i="2" l="1"/>
  <c r="L31" i="2"/>
  <c r="K31" i="2"/>
  <c r="J31" i="2"/>
  <c r="I31" i="2"/>
  <c r="H31" i="2"/>
  <c r="G31" i="2"/>
  <c r="F31" i="2"/>
  <c r="E31" i="2"/>
  <c r="D31" i="2"/>
  <c r="G94" i="2" l="1"/>
  <c r="F94" i="2"/>
  <c r="E94" i="2"/>
  <c r="D94" i="2"/>
  <c r="C94" i="2"/>
  <c r="G93" i="2"/>
  <c r="F93" i="2"/>
  <c r="E93" i="2"/>
  <c r="D93" i="2"/>
  <c r="G92" i="2"/>
  <c r="F92" i="2"/>
  <c r="E92" i="2"/>
  <c r="C92" i="2"/>
  <c r="G91" i="2"/>
  <c r="F91" i="2"/>
  <c r="D91" i="2"/>
  <c r="C91" i="2"/>
  <c r="G90" i="2"/>
  <c r="E90" i="2"/>
  <c r="D90" i="2"/>
  <c r="C90" i="2"/>
  <c r="F89" i="2"/>
  <c r="E89" i="2"/>
  <c r="D89" i="2"/>
  <c r="C89" i="2"/>
  <c r="G88" i="2"/>
  <c r="F88" i="2"/>
  <c r="E88" i="2"/>
  <c r="G87" i="2"/>
  <c r="F87" i="2"/>
  <c r="D87" i="2"/>
  <c r="G86" i="2"/>
  <c r="E86" i="2"/>
  <c r="D86" i="2"/>
  <c r="F85" i="2"/>
  <c r="E85" i="2"/>
  <c r="D85" i="2"/>
  <c r="G84" i="2"/>
  <c r="F84" i="2"/>
  <c r="C84" i="2"/>
  <c r="G83" i="2"/>
  <c r="E83" i="2"/>
  <c r="C83" i="2"/>
  <c r="F82" i="2"/>
  <c r="E82" i="2"/>
  <c r="C82" i="2"/>
  <c r="G81" i="2"/>
  <c r="D81" i="2"/>
  <c r="C81" i="2"/>
  <c r="F80" i="2"/>
  <c r="D80" i="2"/>
  <c r="C80" i="2"/>
  <c r="E79" i="2"/>
  <c r="D79" i="2"/>
  <c r="C79" i="2"/>
  <c r="G78" i="2"/>
  <c r="F78" i="2"/>
  <c r="G77" i="2"/>
  <c r="E77" i="2"/>
  <c r="F76" i="2"/>
  <c r="E76" i="2"/>
  <c r="G75" i="2"/>
  <c r="D75" i="2"/>
  <c r="F74" i="2"/>
  <c r="D74" i="2"/>
  <c r="E73" i="2"/>
  <c r="D73" i="2"/>
  <c r="G72" i="2"/>
  <c r="C72" i="2"/>
  <c r="F71" i="2"/>
  <c r="C71" i="2"/>
  <c r="H71" i="2" s="1"/>
  <c r="E70" i="2"/>
  <c r="C70" i="2"/>
  <c r="D69" i="2"/>
  <c r="C69" i="2"/>
  <c r="G68" i="2"/>
  <c r="H68" i="2" s="1"/>
  <c r="F67" i="2"/>
  <c r="H67" i="2" s="1"/>
  <c r="E66" i="2"/>
  <c r="H66" i="2" s="1"/>
  <c r="D65" i="2"/>
  <c r="H65" i="2" s="1"/>
  <c r="C64" i="2"/>
  <c r="H64" i="2" s="1"/>
  <c r="H84" i="2" l="1"/>
  <c r="H72" i="2"/>
  <c r="H88" i="2"/>
  <c r="H82" i="2"/>
  <c r="H76" i="2"/>
  <c r="H85" i="2"/>
  <c r="H86" i="2"/>
  <c r="H94" i="2"/>
  <c r="H70" i="2"/>
  <c r="H74" i="2"/>
  <c r="H78" i="2"/>
  <c r="H81" i="2"/>
  <c r="H89" i="2"/>
  <c r="H91" i="2"/>
  <c r="H93" i="2"/>
  <c r="H75" i="2"/>
  <c r="H79" i="2"/>
  <c r="H87" i="2"/>
  <c r="H92" i="2"/>
  <c r="H69" i="2"/>
  <c r="H73" i="2"/>
  <c r="H77" i="2"/>
  <c r="H80" i="2"/>
  <c r="H83" i="2"/>
  <c r="H90" i="2"/>
</calcChain>
</file>

<file path=xl/sharedStrings.xml><?xml version="1.0" encoding="utf-8"?>
<sst xmlns="http://schemas.openxmlformats.org/spreadsheetml/2006/main" count="449" uniqueCount="225">
  <si>
    <t>Kategoria:</t>
  </si>
  <si>
    <t>CENY</t>
  </si>
  <si>
    <t>Przeciętne ceny producentów dotyczą rynku krajowego. Ceny skupu dotyczą przeciętnych rocznych cen płaconych przez podmioty gospodarcze skupujące produkty rolne bezpośrednio od producentów rolnych. Podstawą do opracowania wskaźników cen towarów i usług stanowią obserwacje cen reprezentantów.</t>
  </si>
  <si>
    <t>Grupa:</t>
  </si>
  <si>
    <t>PRZECIĘTNE CENY PRODUCENTÓW NIEKTÓRYCH WYROBÓW SPOŻYWCZYCH NA RYNKU KRAJOWYM</t>
  </si>
  <si>
    <t>-</t>
  </si>
  <si>
    <t>Podgrupa:</t>
  </si>
  <si>
    <t>Tłuszcze i nabiał</t>
  </si>
  <si>
    <t>Data ostatniej aktualizacji:</t>
  </si>
  <si>
    <t>13.05.2022</t>
  </si>
  <si>
    <t>Wymiary:</t>
  </si>
  <si>
    <t>Rodzaje produktów; Rok</t>
  </si>
  <si>
    <t>Przypisy:</t>
  </si>
  <si>
    <t>Znak '-' oznacza brak informacji z powodu: zmiany poziomu prezentacji, zmian wprowadzonych do wykazu jednostek terytorialnych lub modyfikacji listy cech w danym okresie sprawozdawczym</t>
  </si>
  <si>
    <t>słonina - za 1kg</t>
  </si>
  <si>
    <t>smalec wieprzowy jadalny paczkowany w kostkach 250g - za 1kg</t>
  </si>
  <si>
    <t>olej jadalny rafinowany rzepakowy konfekcjonowany - za 1l</t>
  </si>
  <si>
    <t>masło świeże o zawartości tłuszczu ok. 82,5% - za 1kg</t>
  </si>
  <si>
    <t>mleko krowie  o zawartości tłuszczu 1,5-2%, w opakowaniu z folii - za 1l</t>
  </si>
  <si>
    <t>mleko krowie o zawartości tłuszczu  3-3,5% (przedłużony okres trwałości, UHT), w opakowaniu kartonowym - za 1l</t>
  </si>
  <si>
    <t>śmietana o zawartości  tłuszczu 18% - za 1l</t>
  </si>
  <si>
    <t>ser twarogowy półtłusty - za 1kg</t>
  </si>
  <si>
    <t>ser dojrzewający "Gouda" - za 1kg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</si>
  <si>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</si>
  <si>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</si>
  <si>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</si>
  <si>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</si>
  <si>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</si>
  <si>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</si>
  <si>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</si>
  <si>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</si>
  <si>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</si>
  <si>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</si>
  <si>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</si>
  <si>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</si>
  <si>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[zł]</t>
  </si>
  <si>
    <t>jaja kurze świeże - za 1szt.</t>
  </si>
  <si>
    <t>Produkt</t>
  </si>
  <si>
    <t>Wskaźnik cen towarów i usług konsumpcyjnych (pot. inflacja)</t>
  </si>
  <si>
    <t>Zmiana ceny produktu na przestrzeni lat</t>
  </si>
  <si>
    <t>Metoda analizy macierzy współczynników korelacji</t>
  </si>
  <si>
    <t>Y</t>
  </si>
  <si>
    <t>X1</t>
  </si>
  <si>
    <t>X2</t>
  </si>
  <si>
    <t>X4</t>
  </si>
  <si>
    <t>X6</t>
  </si>
  <si>
    <t>X8</t>
  </si>
  <si>
    <t>Metoda Hellwiga</t>
  </si>
  <si>
    <t>Kombinacja</t>
  </si>
  <si>
    <t>X1X2</t>
  </si>
  <si>
    <t>X1X4</t>
  </si>
  <si>
    <t>X1X6</t>
  </si>
  <si>
    <t>X1X8</t>
  </si>
  <si>
    <t>X2X4</t>
  </si>
  <si>
    <t>X2X6</t>
  </si>
  <si>
    <t>X2X8</t>
  </si>
  <si>
    <t>X4X6</t>
  </si>
  <si>
    <t>X4X8</t>
  </si>
  <si>
    <t>X6X8</t>
  </si>
  <si>
    <t>X1X2X4</t>
  </si>
  <si>
    <t>X1X2X6</t>
  </si>
  <si>
    <t>X1X2X8</t>
  </si>
  <si>
    <t>X2X4X6</t>
  </si>
  <si>
    <t>X2X4X8</t>
  </si>
  <si>
    <t>X2X6X8</t>
  </si>
  <si>
    <t>X4X6X8</t>
  </si>
  <si>
    <t>X1X2X4X6</t>
  </si>
  <si>
    <t>X1X2X4X8</t>
  </si>
  <si>
    <t>X1X4X6X8</t>
  </si>
  <si>
    <t>X1X2X4X6X8</t>
  </si>
  <si>
    <t>X2X4X6X8</t>
  </si>
  <si>
    <t>X1X4X6</t>
  </si>
  <si>
    <t>X1X4X8</t>
  </si>
  <si>
    <t>X1X6X8</t>
  </si>
  <si>
    <t>X1X2X6X8</t>
  </si>
  <si>
    <t>Indywidualne pojemności nośników informacji h</t>
  </si>
  <si>
    <t>Integralne pojemnośći nośników informacji H</t>
  </si>
  <si>
    <t>Estymacja parametrów</t>
  </si>
  <si>
    <t>XT</t>
  </si>
  <si>
    <t>XTX</t>
  </si>
  <si>
    <t>XTY</t>
  </si>
  <si>
    <t>a</t>
  </si>
  <si>
    <t>PODSUMOWANIE - WYJŚCIE</t>
  </si>
  <si>
    <t>Statystyki regresji</t>
  </si>
  <si>
    <t>Wielokrotność R</t>
  </si>
  <si>
    <t>R kwadrat</t>
  </si>
  <si>
    <t>Dopasowany R kwadrat</t>
  </si>
  <si>
    <t>Błąd standardowy</t>
  </si>
  <si>
    <t>Obserwacje</t>
  </si>
  <si>
    <t>ANALIZA WARIANCJI</t>
  </si>
  <si>
    <t>Regresja</t>
  </si>
  <si>
    <t>Resztkowy</t>
  </si>
  <si>
    <t>Razem</t>
  </si>
  <si>
    <t>Przecięcie</t>
  </si>
  <si>
    <t>df</t>
  </si>
  <si>
    <t>SS</t>
  </si>
  <si>
    <t>MS</t>
  </si>
  <si>
    <t>F</t>
  </si>
  <si>
    <t>Istotność F</t>
  </si>
  <si>
    <t>Współczynniki</t>
  </si>
  <si>
    <t>t Stat</t>
  </si>
  <si>
    <t>Wartość-p</t>
  </si>
  <si>
    <t>Dolne 95%</t>
  </si>
  <si>
    <t>Górne 95%</t>
  </si>
  <si>
    <t>Dolne 95,0%</t>
  </si>
  <si>
    <t>Górne 95,0%</t>
  </si>
  <si>
    <t>Zmienna X 1</t>
  </si>
  <si>
    <t>Zmienna X 2</t>
  </si>
  <si>
    <t>Zmienna X 3</t>
  </si>
  <si>
    <t>Zmienna X 4</t>
  </si>
  <si>
    <t>Zmienna X 5</t>
  </si>
  <si>
    <t>SKŁADNIKI RESZTOWE - WYJŚCIE</t>
  </si>
  <si>
    <t>Obserwacja</t>
  </si>
  <si>
    <t>Przewidywane Y</t>
  </si>
  <si>
    <t>Składniki resztowe</t>
  </si>
  <si>
    <t>k</t>
  </si>
  <si>
    <t>n</t>
  </si>
  <si>
    <t>t</t>
  </si>
  <si>
    <t>𝒚 ̂</t>
  </si>
  <si>
    <t>e(y-y^)</t>
  </si>
  <si>
    <t>sse</t>
  </si>
  <si>
    <t>sst</t>
  </si>
  <si>
    <t>ssr</t>
  </si>
  <si>
    <t>WSP. ZM.</t>
  </si>
  <si>
    <t>X3</t>
  </si>
  <si>
    <t>X5</t>
  </si>
  <si>
    <t>X7</t>
  </si>
  <si>
    <t>X9</t>
  </si>
  <si>
    <t>X10</t>
  </si>
  <si>
    <t>X</t>
  </si>
  <si>
    <t>(XTX)^(-1)</t>
  </si>
  <si>
    <t>Model oszacowany</t>
  </si>
  <si>
    <t>ISTOTNOŚĆ STATYSTYCZNA F</t>
  </si>
  <si>
    <t>Femp</t>
  </si>
  <si>
    <t>alfa</t>
  </si>
  <si>
    <t>s1 = k</t>
  </si>
  <si>
    <t>s2 = n-k-1</t>
  </si>
  <si>
    <t>WERYFIKACJA MODELU</t>
  </si>
  <si>
    <t>WYRAZISTOŚĆ MODELU</t>
  </si>
  <si>
    <t>ELIMINACJA QUASI-STAŁYCH</t>
  </si>
  <si>
    <t>TEST SYMETRII</t>
  </si>
  <si>
    <t>Liczba reszt dodatnich</t>
  </si>
  <si>
    <t>Liczba próby</t>
  </si>
  <si>
    <t>Wartość statystyczna</t>
  </si>
  <si>
    <t>Rozkład jest idealnie symetryczny</t>
  </si>
  <si>
    <t>ROZKŁAD T-STUDENTA</t>
  </si>
  <si>
    <t>stopnie swobody n-1</t>
  </si>
  <si>
    <t>Średnia</t>
  </si>
  <si>
    <t>Mediana</t>
  </si>
  <si>
    <t>Tryb</t>
  </si>
  <si>
    <t>Odchylenie standardowe</t>
  </si>
  <si>
    <t>Wariancja próbki</t>
  </si>
  <si>
    <t>Kurtoza</t>
  </si>
  <si>
    <t>Skośność</t>
  </si>
  <si>
    <t>Zakres</t>
  </si>
  <si>
    <t>Minimum</t>
  </si>
  <si>
    <t>Maksimum</t>
  </si>
  <si>
    <t>Suma</t>
  </si>
  <si>
    <t>Licznik</t>
  </si>
  <si>
    <t>VIF</t>
  </si>
  <si>
    <t>1. MET.</t>
  </si>
  <si>
    <t>2. MET.</t>
  </si>
  <si>
    <t>TEST GOLDFELDA - QUANDTA</t>
  </si>
  <si>
    <t>e^2</t>
  </si>
  <si>
    <t>e1</t>
  </si>
  <si>
    <t>e2</t>
  </si>
  <si>
    <t>e1^2</t>
  </si>
  <si>
    <t>e2^2</t>
  </si>
  <si>
    <t>suma e1^2</t>
  </si>
  <si>
    <t>suma e2^2</t>
  </si>
  <si>
    <t>liczba obserwacji 1szej proby</t>
  </si>
  <si>
    <t>liczba obserwacji 2giej proby</t>
  </si>
  <si>
    <t>liczba zmiennych</t>
  </si>
  <si>
    <t>warainacja 1.</t>
  </si>
  <si>
    <t>wariancja 2.</t>
  </si>
  <si>
    <t>f(w2/w1)</t>
  </si>
  <si>
    <t>wartosc krytyczna</t>
  </si>
  <si>
    <t>Nie występuje heteroskedastyczność</t>
  </si>
  <si>
    <t>TEST SHAPIRO WILKA</t>
  </si>
  <si>
    <t>U</t>
  </si>
  <si>
    <t>ŚREDNIA</t>
  </si>
  <si>
    <t>ODCH. ST.</t>
  </si>
  <si>
    <t>ŚRED. U</t>
  </si>
  <si>
    <t>xi</t>
  </si>
  <si>
    <t>sort</t>
  </si>
  <si>
    <t>xn-i+1</t>
  </si>
  <si>
    <t>xn-i-1-xi</t>
  </si>
  <si>
    <t>ai</t>
  </si>
  <si>
    <t>e-sred</t>
  </si>
  <si>
    <t>Statystyka W</t>
  </si>
  <si>
    <t>Mianownik wzoru</t>
  </si>
  <si>
    <t>Licznik wzoru</t>
  </si>
  <si>
    <t>W(a,12)</t>
  </si>
  <si>
    <t>Poziom istotn</t>
  </si>
  <si>
    <t>Zatem odrzucamy hipotezę zerową</t>
  </si>
  <si>
    <t>W &lt; W(a, 12)</t>
  </si>
  <si>
    <t>TEST JARQUE-BERA</t>
  </si>
  <si>
    <t>e^3</t>
  </si>
  <si>
    <t>e^4</t>
  </si>
  <si>
    <t>SUMY</t>
  </si>
  <si>
    <t>kurtoza</t>
  </si>
  <si>
    <t>skośność</t>
  </si>
  <si>
    <t>SUMA (E^4)^2</t>
  </si>
  <si>
    <t>w</t>
  </si>
  <si>
    <t>JB</t>
  </si>
  <si>
    <t>chi^2</t>
  </si>
  <si>
    <t>Nie mamy podstaw do odrzucenia hipotezy zerowej</t>
  </si>
  <si>
    <t>Wynika z tego, że składniki losowe modelu mją rozkład normalny</t>
  </si>
  <si>
    <t>Badanie koincydencji</t>
  </si>
  <si>
    <t>ZNAKI X1, X6 I X8 SIĘ ZGADZAJĄ</t>
  </si>
  <si>
    <t>SUMA</t>
  </si>
  <si>
    <t xml:space="preserve">KIERUNEK ZALEŻNOŚCI MIĘDZY ZMIENNĄ OBJAŚNIAJĄCĄ ZE ZMIENNYMI OBJAŚNIAJĄCYMI </t>
  </si>
  <si>
    <t>X1, X6 I X8 ZGODNIE Z ZALEŻNOŚCIĄ WYNIKAJĄCĄ Z DANYCH EMPIRYCZNYCH</t>
  </si>
  <si>
    <t>TEST AUROKORELACJI RESZT</t>
  </si>
  <si>
    <t>E-1</t>
  </si>
  <si>
    <t>ROZNICE</t>
  </si>
  <si>
    <t>SUMA KWADRATOW ROZNIC</t>
  </si>
  <si>
    <t>SUMA KWADRATOW RESZT</t>
  </si>
  <si>
    <t>STATYSTYKA DW</t>
  </si>
  <si>
    <t>dl</t>
  </si>
  <si>
    <t>du</t>
  </si>
  <si>
    <t>4 - du &lt; du &lt; DW</t>
  </si>
  <si>
    <t>TEST NIE ROZSTRZYGA KWESTII AUTOKORELACJI ( JESTEŚMY W OBSZARZE NIEKONKLUZYWNOŚCI</t>
  </si>
  <si>
    <t>4 - du</t>
  </si>
  <si>
    <t>WAR KRYT.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</si>
</sst>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name val="Calibri"/>
    </font>
    <font>
      <sz val="11"/>
      <color rgb="FF000000"/>
      <name val="Calibri"/>
      <family val="2"/>
      <charset val="238"/>
    </font>
    <font>
      <sz val="11"/>
      <name val="Calibri"/>
      <family val="2"/>
      <charset val="238"/>
    </font>
    <font>
      <i/>
      <sz val="11"/>
      <name val="Calibri"/>
      <family val="2"/>
      <charset val="238"/>
    </font>
    <font>
      <sz val="11"/>
      <color rgb="FF303030"/>
      <name val="Arial"/>
      <family val="2"/>
      <charset val="238"/>
    </font>
    <font>
      <sz val="11"/>
      <color theme="0"/>
      <name val="Calibri"/>
      <family val="2"/>
      <charset val="238"/>
    </font>
    <font>
      <sz val="8"/>
      <name val="Calibri"/>
      <family val="2"/>
      <charset val="238"/>
    </font>
  </fonts>
  <fills count="12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2" borderId="1">
      <alignment horizontal="left" vertical="center" wrapText="1"/>
    </xf>
  </cellStyleXfs>
  <cellXfs count="287">
    <xf numFmtId="0" fontId="0" fillId="0" borderId="0" xfId="0"/>
    <xf numFmtId="0" fontId="1" fillId="2" borderId="1" xfId="1">
      <alignment horizontal="left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4" xfId="0" applyBorder="1"/>
    <xf numFmtId="0" fontId="1" fillId="2" borderId="2" xfId="1" applyBorder="1">
      <alignment horizontal="left" vertical="center" wrapText="1"/>
    </xf>
    <xf numFmtId="4" fontId="0" fillId="0" borderId="8" xfId="0" applyNumberFormat="1" applyBorder="1"/>
    <xf numFmtId="4" fontId="0" fillId="0" borderId="0" xfId="0" applyNumberFormat="1"/>
    <xf numFmtId="4" fontId="0" fillId="0" borderId="9" xfId="0" applyNumberFormat="1" applyBorder="1"/>
    <xf numFmtId="0" fontId="0" fillId="0" borderId="8" xfId="0" applyBorder="1"/>
    <xf numFmtId="0" fontId="0" fillId="0" borderId="9" xfId="0" applyBorder="1"/>
    <xf numFmtId="4" fontId="0" fillId="0" borderId="10" xfId="0" applyNumberFormat="1" applyBorder="1"/>
    <xf numFmtId="4" fontId="0" fillId="0" borderId="3" xfId="0" applyNumberFormat="1" applyBorder="1"/>
    <xf numFmtId="4" fontId="0" fillId="0" borderId="11" xfId="0" applyNumberFormat="1" applyBorder="1"/>
    <xf numFmtId="0" fontId="1" fillId="3" borderId="4" xfId="1" applyFill="1" applyBorder="1">
      <alignment horizontal="left" vertical="center" wrapText="1"/>
    </xf>
    <xf numFmtId="164" fontId="0" fillId="3" borderId="5" xfId="0" applyNumberFormat="1" applyFill="1" applyBorder="1"/>
    <xf numFmtId="164" fontId="0" fillId="3" borderId="6" xfId="0" applyNumberFormat="1" applyFill="1" applyBorder="1"/>
    <xf numFmtId="164" fontId="0" fillId="3" borderId="7" xfId="0" applyNumberFormat="1" applyFill="1" applyBorder="1"/>
    <xf numFmtId="10" fontId="0" fillId="0" borderId="0" xfId="0" applyNumberFormat="1" applyAlignment="1">
      <alignment horizontal="center"/>
    </xf>
    <xf numFmtId="0" fontId="2" fillId="0" borderId="0" xfId="0" applyFont="1"/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5" borderId="4" xfId="0" applyFill="1" applyBorder="1"/>
    <xf numFmtId="0" fontId="0" fillId="0" borderId="11" xfId="0" applyBorder="1"/>
    <xf numFmtId="0" fontId="2" fillId="0" borderId="23" xfId="0" applyFont="1" applyBorder="1"/>
    <xf numFmtId="0" fontId="0" fillId="6" borderId="19" xfId="0" applyFill="1" applyBorder="1"/>
    <xf numFmtId="0" fontId="0" fillId="6" borderId="14" xfId="0" applyFill="1" applyBorder="1"/>
    <xf numFmtId="0" fontId="4" fillId="6" borderId="14" xfId="0" applyFont="1" applyFill="1" applyBorder="1"/>
    <xf numFmtId="0" fontId="0" fillId="6" borderId="20" xfId="0" applyFill="1" applyBorder="1"/>
    <xf numFmtId="0" fontId="0" fillId="6" borderId="4" xfId="0" applyFill="1" applyBorder="1"/>
    <xf numFmtId="0" fontId="4" fillId="6" borderId="4" xfId="0" applyFont="1" applyFill="1" applyBorder="1"/>
    <xf numFmtId="0" fontId="0" fillId="6" borderId="21" xfId="0" applyFill="1" applyBorder="1"/>
    <xf numFmtId="0" fontId="0" fillId="6" borderId="15" xfId="0" applyFill="1" applyBorder="1"/>
    <xf numFmtId="0" fontId="4" fillId="6" borderId="15" xfId="0" applyFont="1" applyFill="1" applyBorder="1"/>
    <xf numFmtId="0" fontId="0" fillId="7" borderId="21" xfId="0" applyFill="1" applyBorder="1"/>
    <xf numFmtId="0" fontId="0" fillId="7" borderId="15" xfId="0" applyFill="1" applyBorder="1"/>
    <xf numFmtId="0" fontId="0" fillId="8" borderId="19" xfId="0" applyFill="1" applyBorder="1"/>
    <xf numFmtId="0" fontId="0" fillId="8" borderId="14" xfId="0" applyFill="1" applyBorder="1"/>
    <xf numFmtId="0" fontId="0" fillId="8" borderId="20" xfId="0" applyFill="1" applyBorder="1"/>
    <xf numFmtId="0" fontId="0" fillId="8" borderId="4" xfId="0" applyFill="1" applyBorder="1"/>
    <xf numFmtId="0" fontId="0" fillId="8" borderId="21" xfId="0" applyFill="1" applyBorder="1"/>
    <xf numFmtId="0" fontId="0" fillId="8" borderId="15" xfId="0" applyFill="1" applyBorder="1"/>
    <xf numFmtId="0" fontId="0" fillId="0" borderId="16" xfId="0" applyBorder="1"/>
    <xf numFmtId="164" fontId="0" fillId="0" borderId="0" xfId="0" applyNumberFormat="1"/>
    <xf numFmtId="0" fontId="5" fillId="0" borderId="0" xfId="0" applyFont="1"/>
    <xf numFmtId="0" fontId="2" fillId="0" borderId="28" xfId="0" applyFont="1" applyBorder="1" applyAlignment="1">
      <alignment horizontal="center"/>
    </xf>
    <xf numFmtId="4" fontId="0" fillId="0" borderId="4" xfId="0" applyNumberFormat="1" applyBorder="1"/>
    <xf numFmtId="0" fontId="2" fillId="0" borderId="4" xfId="0" applyFont="1" applyBorder="1"/>
    <xf numFmtId="164" fontId="0" fillId="0" borderId="4" xfId="0" applyNumberFormat="1" applyBorder="1"/>
    <xf numFmtId="0" fontId="1" fillId="0" borderId="0" xfId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0" fillId="7" borderId="20" xfId="0" applyFill="1" applyBorder="1"/>
    <xf numFmtId="0" fontId="0" fillId="7" borderId="4" xfId="0" applyFill="1" applyBorder="1"/>
    <xf numFmtId="0" fontId="4" fillId="7" borderId="4" xfId="0" applyFont="1" applyFill="1" applyBorder="1"/>
    <xf numFmtId="0" fontId="4" fillId="7" borderId="15" xfId="0" applyFont="1" applyFill="1" applyBorder="1"/>
    <xf numFmtId="0" fontId="0" fillId="7" borderId="19" xfId="0" applyFill="1" applyBorder="1"/>
    <xf numFmtId="0" fontId="0" fillId="7" borderId="14" xfId="0" applyFill="1" applyBorder="1"/>
    <xf numFmtId="0" fontId="4" fillId="7" borderId="14" xfId="0" applyFont="1" applyFill="1" applyBorder="1"/>
    <xf numFmtId="0" fontId="4" fillId="8" borderId="14" xfId="0" applyFont="1" applyFill="1" applyBorder="1"/>
    <xf numFmtId="0" fontId="4" fillId="8" borderId="4" xfId="0" applyFont="1" applyFill="1" applyBorder="1"/>
    <xf numFmtId="0" fontId="0" fillId="10" borderId="19" xfId="0" applyFill="1" applyBorder="1"/>
    <xf numFmtId="0" fontId="0" fillId="10" borderId="14" xfId="0" applyFill="1" applyBorder="1"/>
    <xf numFmtId="0" fontId="0" fillId="10" borderId="20" xfId="0" applyFill="1" applyBorder="1"/>
    <xf numFmtId="0" fontId="0" fillId="10" borderId="4" xfId="0" applyFill="1" applyBorder="1"/>
    <xf numFmtId="0" fontId="0" fillId="10" borderId="21" xfId="0" applyFill="1" applyBorder="1"/>
    <xf numFmtId="0" fontId="0" fillId="10" borderId="15" xfId="0" applyFill="1" applyBorder="1"/>
    <xf numFmtId="0" fontId="5" fillId="9" borderId="4" xfId="1" applyFont="1" applyFill="1" applyBorder="1">
      <alignment horizontal="left" vertical="center" wrapText="1"/>
    </xf>
    <xf numFmtId="0" fontId="2" fillId="0" borderId="35" xfId="0" applyFont="1" applyBorder="1"/>
    <xf numFmtId="0" fontId="2" fillId="0" borderId="36" xfId="0" applyFont="1" applyBorder="1"/>
    <xf numFmtId="0" fontId="0" fillId="7" borderId="37" xfId="0" applyFill="1" applyBorder="1"/>
    <xf numFmtId="0" fontId="0" fillId="7" borderId="39" xfId="0" applyFill="1" applyBorder="1"/>
    <xf numFmtId="0" fontId="0" fillId="7" borderId="41" xfId="0" applyFill="1" applyBorder="1"/>
    <xf numFmtId="0" fontId="0" fillId="6" borderId="37" xfId="0" applyFill="1" applyBorder="1"/>
    <xf numFmtId="0" fontId="0" fillId="6" borderId="39" xfId="0" applyFill="1" applyBorder="1"/>
    <xf numFmtId="0" fontId="0" fillId="6" borderId="41" xfId="0" applyFill="1" applyBorder="1"/>
    <xf numFmtId="0" fontId="0" fillId="8" borderId="37" xfId="0" applyFill="1" applyBorder="1"/>
    <xf numFmtId="0" fontId="0" fillId="8" borderId="39" xfId="0" applyFill="1" applyBorder="1"/>
    <xf numFmtId="0" fontId="0" fillId="8" borderId="41" xfId="0" applyFill="1" applyBorder="1"/>
    <xf numFmtId="0" fontId="0" fillId="10" borderId="37" xfId="0" applyFill="1" applyBorder="1"/>
    <xf numFmtId="0" fontId="0" fillId="10" borderId="39" xfId="0" applyFill="1" applyBorder="1"/>
    <xf numFmtId="0" fontId="0" fillId="10" borderId="41" xfId="0" applyFill="1" applyBorder="1"/>
    <xf numFmtId="0" fontId="2" fillId="0" borderId="42" xfId="0" applyFont="1" applyBorder="1"/>
    <xf numFmtId="0" fontId="5" fillId="11" borderId="18" xfId="0" applyFont="1" applyFill="1" applyBorder="1"/>
    <xf numFmtId="0" fontId="5" fillId="11" borderId="43" xfId="0" applyFont="1" applyFill="1" applyBorder="1"/>
    <xf numFmtId="0" fontId="5" fillId="11" borderId="22" xfId="0" applyFont="1" applyFill="1" applyBorder="1"/>
    <xf numFmtId="0" fontId="2" fillId="0" borderId="30" xfId="0" applyFont="1" applyBorder="1"/>
    <xf numFmtId="4" fontId="2" fillId="0" borderId="0" xfId="0" applyNumberFormat="1" applyFont="1"/>
    <xf numFmtId="0" fontId="0" fillId="0" borderId="13" xfId="0" applyBorder="1"/>
    <xf numFmtId="4" fontId="2" fillId="0" borderId="30" xfId="0" applyNumberFormat="1" applyFont="1" applyBorder="1"/>
    <xf numFmtId="4" fontId="0" fillId="0" borderId="13" xfId="0" applyNumberFormat="1" applyBorder="1"/>
    <xf numFmtId="0" fontId="0" fillId="0" borderId="39" xfId="0" applyBorder="1"/>
    <xf numFmtId="0" fontId="0" fillId="0" borderId="41" xfId="0" applyBorder="1"/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34" xfId="0" applyBorder="1"/>
    <xf numFmtId="0" fontId="0" fillId="0" borderId="29" xfId="0" applyBorder="1"/>
    <xf numFmtId="0" fontId="2" fillId="0" borderId="44" xfId="0" applyFont="1" applyBorder="1"/>
    <xf numFmtId="0" fontId="0" fillId="0" borderId="45" xfId="0" applyBorder="1"/>
    <xf numFmtId="0" fontId="2" fillId="0" borderId="46" xfId="0" applyFont="1" applyBorder="1"/>
    <xf numFmtId="0" fontId="0" fillId="0" borderId="47" xfId="0" applyBorder="1"/>
    <xf numFmtId="0" fontId="2" fillId="0" borderId="5" xfId="0" applyFont="1" applyBorder="1"/>
    <xf numFmtId="0" fontId="0" fillId="0" borderId="7" xfId="0" applyBorder="1"/>
    <xf numFmtId="0" fontId="2" fillId="0" borderId="10" xfId="0" applyFont="1" applyBorder="1"/>
    <xf numFmtId="0" fontId="0" fillId="0" borderId="25" xfId="0" applyBorder="1"/>
    <xf numFmtId="164" fontId="0" fillId="0" borderId="13" xfId="0" applyNumberFormat="1" applyBorder="1"/>
    <xf numFmtId="0" fontId="2" fillId="0" borderId="18" xfId="0" applyFont="1" applyBorder="1"/>
    <xf numFmtId="0" fontId="2" fillId="0" borderId="43" xfId="0" applyFont="1" applyBorder="1"/>
    <xf numFmtId="164" fontId="0" fillId="0" borderId="17" xfId="0" applyNumberFormat="1" applyBorder="1"/>
    <xf numFmtId="4" fontId="0" fillId="0" borderId="17" xfId="0" applyNumberFormat="1" applyBorder="1"/>
    <xf numFmtId="0" fontId="0" fillId="0" borderId="17" xfId="0" applyBorder="1"/>
    <xf numFmtId="0" fontId="1" fillId="0" borderId="36" xfId="1" applyFill="1" applyBorder="1" applyAlignment="1">
      <alignment horizontal="center" vertical="center" wrapText="1"/>
    </xf>
    <xf numFmtId="10" fontId="2" fillId="0" borderId="14" xfId="0" applyNumberFormat="1" applyFont="1" applyBorder="1" applyAlignment="1">
      <alignment horizontal="center"/>
    </xf>
    <xf numFmtId="10" fontId="0" fillId="0" borderId="14" xfId="0" applyNumberFormat="1" applyBorder="1" applyAlignment="1">
      <alignment horizontal="center"/>
    </xf>
    <xf numFmtId="10" fontId="0" fillId="0" borderId="37" xfId="0" applyNumberFormat="1" applyBorder="1" applyAlignment="1">
      <alignment horizontal="center"/>
    </xf>
    <xf numFmtId="0" fontId="2" fillId="0" borderId="40" xfId="0" applyFont="1" applyBorder="1" applyAlignment="1">
      <alignment horizontal="center" vertical="center"/>
    </xf>
    <xf numFmtId="9" fontId="0" fillId="0" borderId="15" xfId="0" applyNumberFormat="1" applyBorder="1" applyAlignment="1">
      <alignment horizontal="center"/>
    </xf>
    <xf numFmtId="10" fontId="0" fillId="0" borderId="15" xfId="0" applyNumberFormat="1" applyBorder="1" applyAlignment="1">
      <alignment horizontal="center"/>
    </xf>
    <xf numFmtId="10" fontId="0" fillId="0" borderId="41" xfId="0" applyNumberForma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4" borderId="13" xfId="0" applyFill="1" applyBorder="1"/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49" xfId="0" applyFont="1" applyBorder="1"/>
    <xf numFmtId="0" fontId="5" fillId="9" borderId="13" xfId="1" applyFont="1" applyFill="1" applyBorder="1">
      <alignment horizontal="left" vertical="center" wrapText="1"/>
    </xf>
    <xf numFmtId="0" fontId="0" fillId="0" borderId="42" xfId="0" applyBorder="1"/>
    <xf numFmtId="0" fontId="0" fillId="0" borderId="43" xfId="0" applyBorder="1"/>
    <xf numFmtId="0" fontId="0" fillId="0" borderId="30" xfId="0" applyBorder="1"/>
    <xf numFmtId="0" fontId="0" fillId="0" borderId="30" xfId="0" applyBorder="1" applyAlignment="1">
      <alignment horizontal="center"/>
    </xf>
    <xf numFmtId="0" fontId="2" fillId="0" borderId="18" xfId="0" applyFont="1" applyBorder="1" applyAlignment="1">
      <alignment horizontal="center" vertical="top"/>
    </xf>
    <xf numFmtId="0" fontId="2" fillId="0" borderId="27" xfId="0" applyFont="1" applyBorder="1"/>
    <xf numFmtId="164" fontId="0" fillId="0" borderId="10" xfId="0" applyNumberFormat="1" applyBorder="1"/>
    <xf numFmtId="164" fontId="0" fillId="0" borderId="25" xfId="0" applyNumberFormat="1" applyBorder="1"/>
    <xf numFmtId="0" fontId="2" fillId="0" borderId="40" xfId="0" applyFont="1" applyBorder="1"/>
    <xf numFmtId="0" fontId="2" fillId="0" borderId="33" xfId="0" applyFont="1" applyBorder="1" applyAlignment="1">
      <alignment horizontal="center"/>
    </xf>
    <xf numFmtId="10" fontId="0" fillId="0" borderId="0" xfId="0" applyNumberFormat="1"/>
    <xf numFmtId="0" fontId="0" fillId="0" borderId="0" xfId="0" applyAlignment="1">
      <alignment horizontal="left"/>
    </xf>
    <xf numFmtId="164" fontId="0" fillId="0" borderId="49" xfId="0" applyNumberFormat="1" applyBorder="1"/>
    <xf numFmtId="164" fontId="0" fillId="0" borderId="32" xfId="0" applyNumberFormat="1" applyBorder="1"/>
    <xf numFmtId="164" fontId="0" fillId="0" borderId="33" xfId="0" applyNumberFormat="1" applyBorder="1"/>
    <xf numFmtId="0" fontId="0" fillId="0" borderId="46" xfId="0" applyBorder="1"/>
    <xf numFmtId="164" fontId="0" fillId="0" borderId="31" xfId="0" applyNumberFormat="1" applyBorder="1" applyAlignment="1">
      <alignment horizontal="center"/>
    </xf>
    <xf numFmtId="0" fontId="0" fillId="0" borderId="37" xfId="0" applyBorder="1"/>
    <xf numFmtId="0" fontId="2" fillId="0" borderId="16" xfId="0" applyFont="1" applyBorder="1"/>
    <xf numFmtId="0" fontId="0" fillId="0" borderId="44" xfId="0" applyBorder="1"/>
    <xf numFmtId="0" fontId="2" fillId="0" borderId="30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2" fillId="0" borderId="14" xfId="0" applyFont="1" applyBorder="1"/>
    <xf numFmtId="0" fontId="2" fillId="0" borderId="38" xfId="0" applyFont="1" applyBorder="1"/>
    <xf numFmtId="164" fontId="0" fillId="0" borderId="38" xfId="0" applyNumberFormat="1" applyBorder="1"/>
    <xf numFmtId="164" fontId="0" fillId="0" borderId="39" xfId="0" applyNumberFormat="1" applyBorder="1"/>
    <xf numFmtId="164" fontId="0" fillId="0" borderId="40" xfId="0" applyNumberFormat="1" applyBorder="1"/>
    <xf numFmtId="164" fontId="0" fillId="0" borderId="15" xfId="0" applyNumberFormat="1" applyBorder="1"/>
    <xf numFmtId="0" fontId="0" fillId="0" borderId="15" xfId="0" applyBorder="1"/>
    <xf numFmtId="0" fontId="2" fillId="0" borderId="37" xfId="0" applyFont="1" applyBorder="1"/>
    <xf numFmtId="0" fontId="0" fillId="0" borderId="38" xfId="0" applyBorder="1"/>
    <xf numFmtId="0" fontId="0" fillId="0" borderId="40" xfId="0" applyBorder="1"/>
    <xf numFmtId="0" fontId="2" fillId="0" borderId="0" xfId="0" applyFont="1" applyAlignment="1">
      <alignment horizontal="right"/>
    </xf>
    <xf numFmtId="164" fontId="0" fillId="0" borderId="54" xfId="0" applyNumberFormat="1" applyBorder="1"/>
    <xf numFmtId="0" fontId="2" fillId="0" borderId="18" xfId="0" applyFont="1" applyBorder="1" applyAlignment="1">
      <alignment horizontal="center"/>
    </xf>
    <xf numFmtId="164" fontId="0" fillId="0" borderId="42" xfId="0" applyNumberFormat="1" applyBorder="1"/>
    <xf numFmtId="4" fontId="0" fillId="0" borderId="55" xfId="0" applyNumberFormat="1" applyBorder="1"/>
    <xf numFmtId="4" fontId="0" fillId="0" borderId="39" xfId="0" applyNumberFormat="1" applyBorder="1"/>
    <xf numFmtId="4" fontId="0" fillId="0" borderId="15" xfId="0" applyNumberFormat="1" applyBorder="1"/>
    <xf numFmtId="4" fontId="0" fillId="0" borderId="41" xfId="0" applyNumberFormat="1" applyBorder="1"/>
    <xf numFmtId="0" fontId="3" fillId="0" borderId="40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0" fillId="0" borderId="55" xfId="0" applyBorder="1"/>
    <xf numFmtId="0" fontId="2" fillId="0" borderId="28" xfId="0" applyFont="1" applyBorder="1"/>
    <xf numFmtId="0" fontId="2" fillId="0" borderId="29" xfId="0" applyFont="1" applyBorder="1"/>
    <xf numFmtId="164" fontId="0" fillId="0" borderId="46" xfId="0" applyNumberFormat="1" applyBorder="1"/>
    <xf numFmtId="0" fontId="0" fillId="0" borderId="52" xfId="0" applyBorder="1"/>
    <xf numFmtId="0" fontId="5" fillId="9" borderId="38" xfId="1" applyFont="1" applyFill="1" applyBorder="1">
      <alignment horizontal="left" vertical="center" wrapText="1"/>
    </xf>
    <xf numFmtId="0" fontId="5" fillId="9" borderId="56" xfId="1" applyFont="1" applyFill="1" applyBorder="1">
      <alignment horizontal="left" vertical="center" wrapText="1"/>
    </xf>
    <xf numFmtId="4" fontId="0" fillId="0" borderId="57" xfId="0" applyNumberFormat="1" applyBorder="1"/>
    <xf numFmtId="0" fontId="0" fillId="0" borderId="0" xfId="0" applyAlignment="1">
      <alignment horizontal="center"/>
    </xf>
    <xf numFmtId="0" fontId="0" fillId="0" borderId="45" xfId="0" applyBorder="1" applyAlignment="1">
      <alignment horizontal="center"/>
    </xf>
    <xf numFmtId="0" fontId="1" fillId="2" borderId="1" xfId="1" applyAlignment="1">
      <alignment horizontal="center" vertical="center" wrapText="1"/>
    </xf>
    <xf numFmtId="0" fontId="1" fillId="2" borderId="2" xfId="1" applyBorder="1" applyAlignment="1">
      <alignment horizontal="center" vertical="center" wrapText="1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8" xfId="0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6" borderId="34" xfId="0" applyFill="1" applyBorder="1" applyAlignment="1">
      <alignment horizontal="center"/>
    </xf>
    <xf numFmtId="164" fontId="0" fillId="0" borderId="4" xfId="0" applyNumberFormat="1" applyBorder="1"/>
    <xf numFmtId="0" fontId="2" fillId="0" borderId="4" xfId="0" applyFont="1" applyBorder="1"/>
    <xf numFmtId="0" fontId="2" fillId="0" borderId="50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164" fontId="0" fillId="0" borderId="17" xfId="0" applyNumberFormat="1" applyBorder="1"/>
    <xf numFmtId="164" fontId="0" fillId="0" borderId="52" xfId="0" applyNumberFormat="1" applyBorder="1" applyAlignment="1">
      <alignment horizontal="center"/>
    </xf>
    <xf numFmtId="164" fontId="0" fillId="0" borderId="53" xfId="0" applyNumberFormat="1" applyBorder="1" applyAlignment="1">
      <alignment horizontal="center"/>
    </xf>
    <xf numFmtId="0" fontId="0" fillId="0" borderId="4" xfId="0" applyBorder="1"/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164" fontId="0" fillId="0" borderId="39" xfId="0" applyNumberFormat="1" applyBorder="1"/>
    <xf numFmtId="0" fontId="3" fillId="0" borderId="52" xfId="0" applyFont="1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2" fillId="0" borderId="38" xfId="0" applyFont="1" applyBorder="1"/>
    <xf numFmtId="164" fontId="0" fillId="0" borderId="15" xfId="0" applyNumberFormat="1" applyBorder="1"/>
    <xf numFmtId="164" fontId="0" fillId="0" borderId="41" xfId="0" applyNumberFormat="1" applyBorder="1"/>
    <xf numFmtId="0" fontId="2" fillId="0" borderId="26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40" xfId="0" applyFont="1" applyBorder="1"/>
    <xf numFmtId="0" fontId="2" fillId="0" borderId="15" xfId="0" applyFont="1" applyBorder="1"/>
    <xf numFmtId="164" fontId="0" fillId="0" borderId="14" xfId="0" applyNumberFormat="1" applyBorder="1"/>
    <xf numFmtId="164" fontId="0" fillId="0" borderId="37" xfId="0" applyNumberFormat="1" applyBorder="1"/>
    <xf numFmtId="0" fontId="0" fillId="0" borderId="39" xfId="0" applyBorder="1"/>
    <xf numFmtId="0" fontId="0" fillId="0" borderId="15" xfId="0" applyBorder="1"/>
    <xf numFmtId="0" fontId="0" fillId="0" borderId="41" xfId="0" applyBorder="1"/>
    <xf numFmtId="0" fontId="2" fillId="0" borderId="14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6" xfId="0" applyFont="1" applyBorder="1"/>
    <xf numFmtId="0" fontId="2" fillId="0" borderId="14" xfId="0" applyFont="1" applyBorder="1"/>
    <xf numFmtId="164" fontId="0" fillId="0" borderId="14" xfId="0" applyNumberFormat="1" applyBorder="1" applyAlignment="1">
      <alignment horizontal="center"/>
    </xf>
    <xf numFmtId="164" fontId="0" fillId="0" borderId="37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4" xfId="0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41" xfId="0" applyBorder="1" applyAlignment="1">
      <alignment horizontal="center"/>
    </xf>
    <xf numFmtId="164" fontId="0" fillId="0" borderId="38" xfId="0" applyNumberFormat="1" applyBorder="1"/>
    <xf numFmtId="164" fontId="0" fillId="0" borderId="56" xfId="0" applyNumberFormat="1" applyBorder="1"/>
    <xf numFmtId="164" fontId="0" fillId="0" borderId="57" xfId="0" applyNumberFormat="1" applyBorder="1"/>
    <xf numFmtId="164" fontId="0" fillId="0" borderId="24" xfId="0" applyNumberFormat="1" applyBorder="1"/>
    <xf numFmtId="164" fontId="0" fillId="0" borderId="34" xfId="0" applyNumberFormat="1" applyBorder="1"/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164" fontId="0" fillId="0" borderId="54" xfId="0" applyNumberFormat="1" applyBorder="1"/>
    <xf numFmtId="164" fontId="0" fillId="0" borderId="55" xfId="0" applyNumberFormat="1" applyBorder="1"/>
    <xf numFmtId="0" fontId="2" fillId="0" borderId="46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164" fontId="0" fillId="0" borderId="40" xfId="0" applyNumberFormat="1" applyBorder="1"/>
    <xf numFmtId="164" fontId="0" fillId="0" borderId="54" xfId="0" applyNumberFormat="1" applyBorder="1" applyAlignment="1">
      <alignment horizontal="center"/>
    </xf>
    <xf numFmtId="164" fontId="0" fillId="0" borderId="55" xfId="0" applyNumberFormat="1" applyBorder="1" applyAlignment="1">
      <alignment horizontal="center"/>
    </xf>
    <xf numFmtId="164" fontId="0" fillId="0" borderId="38" xfId="0" applyNumberFormat="1" applyBorder="1" applyAlignment="1">
      <alignment horizontal="center"/>
    </xf>
    <xf numFmtId="164" fontId="0" fillId="0" borderId="39" xfId="0" applyNumberFormat="1" applyBorder="1" applyAlignment="1">
      <alignment horizontal="center"/>
    </xf>
    <xf numFmtId="164" fontId="0" fillId="0" borderId="40" xfId="0" applyNumberFormat="1" applyBorder="1" applyAlignment="1">
      <alignment horizontal="center"/>
    </xf>
    <xf numFmtId="164" fontId="0" fillId="0" borderId="41" xfId="0" applyNumberFormat="1" applyBorder="1" applyAlignment="1">
      <alignment horizontal="center"/>
    </xf>
    <xf numFmtId="0" fontId="2" fillId="0" borderId="18" xfId="0" applyFon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3" xfId="0" applyBorder="1" applyAlignment="1">
      <alignment horizontal="center"/>
    </xf>
    <xf numFmtId="0" fontId="2" fillId="0" borderId="42" xfId="0" applyFont="1" applyBorder="1"/>
    <xf numFmtId="0" fontId="2" fillId="0" borderId="18" xfId="0" applyFont="1" applyBorder="1"/>
    <xf numFmtId="0" fontId="2" fillId="0" borderId="43" xfId="0" applyFont="1" applyBorder="1"/>
    <xf numFmtId="164" fontId="0" fillId="0" borderId="13" xfId="0" applyNumberFormat="1" applyBorder="1"/>
    <xf numFmtId="0" fontId="2" fillId="0" borderId="35" xfId="0" applyFont="1" applyBorder="1"/>
    <xf numFmtId="0" fontId="2" fillId="0" borderId="28" xfId="0" applyFont="1" applyBorder="1"/>
    <xf numFmtId="0" fontId="2" fillId="0" borderId="29" xfId="0" applyFont="1" applyBorder="1"/>
    <xf numFmtId="0" fontId="0" fillId="0" borderId="46" xfId="0" applyBorder="1"/>
    <xf numFmtId="0" fontId="0" fillId="0" borderId="16" xfId="0" applyBorder="1"/>
    <xf numFmtId="0" fontId="0" fillId="0" borderId="47" xfId="0" applyBorder="1"/>
    <xf numFmtId="164" fontId="0" fillId="0" borderId="44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5" xfId="0" applyFont="1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9" xfId="0" applyBorder="1" applyAlignment="1">
      <alignment horizontal="center"/>
    </xf>
    <xf numFmtId="164" fontId="0" fillId="0" borderId="43" xfId="0" applyNumberFormat="1" applyBorder="1" applyAlignment="1">
      <alignment horizontal="center"/>
    </xf>
  </cellXfs>
  <cellStyles count="2">
    <cellStyle name="Kolumna" xfId="1" xr:uid="{00000000-0005-0000-0000-000001000000}"/>
    <cellStyle name="Normalny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Składniki resztowe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TABLICA!$B$183:$B$194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TABLICA!$C$183:$C$194</c:f>
              <c:numCache>
                <c:formatCode>General</c:formatCode>
                <c:ptCount val="12"/>
                <c:pt idx="0">
                  <c:v>-0.33822130575127574</c:v>
                </c:pt>
                <c:pt idx="1">
                  <c:v>2.9073401836433987</c:v>
                </c:pt>
                <c:pt idx="2">
                  <c:v>0.53805850199219662</c:v>
                </c:pt>
                <c:pt idx="3">
                  <c:v>-1.1937865519515896</c:v>
                </c:pt>
                <c:pt idx="4">
                  <c:v>-0.89441799387401488</c:v>
                </c:pt>
                <c:pt idx="5">
                  <c:v>-1.205859282543571</c:v>
                </c:pt>
                <c:pt idx="6">
                  <c:v>-0.12483248456555884</c:v>
                </c:pt>
                <c:pt idx="7">
                  <c:v>0.77504285482325486</c:v>
                </c:pt>
                <c:pt idx="8">
                  <c:v>-0.82109280177236599</c:v>
                </c:pt>
                <c:pt idx="9">
                  <c:v>-1.0387365356478426</c:v>
                </c:pt>
                <c:pt idx="10">
                  <c:v>1.2637376225865182</c:v>
                </c:pt>
                <c:pt idx="11">
                  <c:v>0.13276779306121966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11-45C5-8783-B1DD66A68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6136512"/>
        <c:axId val="1756131936"/>
      </c:scatterChart>
      <c:valAx>
        <c:axId val="175613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56131936"/>
        <c:crosses val="autoZero"/>
        <c:crossBetween val="midCat"/>
      </c:valAx>
      <c:valAx>
        <c:axId val="175613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5613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Składniki resztowe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TABLICA!$N$183:$N$194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TABLICA!$O$183:$O$194</c:f>
              <c:numCache>
                <c:formatCode>General</c:formatCode>
                <c:ptCount val="12"/>
                <c:pt idx="0">
                  <c:v>-1.205859282543571</c:v>
                </c:pt>
                <c:pt idx="1">
                  <c:v>-1.1937865519515896</c:v>
                </c:pt>
                <c:pt idx="2">
                  <c:v>-1.0387365356478426</c:v>
                </c:pt>
                <c:pt idx="3">
                  <c:v>-0.89441799387401488</c:v>
                </c:pt>
                <c:pt idx="4">
                  <c:v>-0.82109280177236599</c:v>
                </c:pt>
                <c:pt idx="5">
                  <c:v>-0.33822130575127574</c:v>
                </c:pt>
                <c:pt idx="6">
                  <c:v>-0.12483248456555884</c:v>
                </c:pt>
                <c:pt idx="7">
                  <c:v>0.13276779306121966</c:v>
                </c:pt>
                <c:pt idx="8">
                  <c:v>0.53805850199219662</c:v>
                </c:pt>
                <c:pt idx="9">
                  <c:v>0.77504285482325486</c:v>
                </c:pt>
                <c:pt idx="10">
                  <c:v>1.2637376225865182</c:v>
                </c:pt>
                <c:pt idx="11">
                  <c:v>2.9073401836433987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05-4815-977C-292D4AD4F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6136512"/>
        <c:axId val="1756132352"/>
      </c:scatterChart>
      <c:valAx>
        <c:axId val="175613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56132352"/>
        <c:crosses val="autoZero"/>
        <c:crossBetween val="midCat"/>
      </c:valAx>
      <c:valAx>
        <c:axId val="175613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5613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Zmienna X 1 Rozkład linii dopasowanej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</c:v>
          </c:tx>
          <c:marker>
            <c:symbol val="none"/>
          </c:marker>
          <c:cat>
            <c:numRef>
              <c:f>TABLICA!$D$104:$D$115</c:f>
              <c:numCache>
                <c:formatCode>#,##0.00</c:formatCode>
                <c:ptCount val="12"/>
                <c:pt idx="0">
                  <c:v>3.86</c:v>
                </c:pt>
                <c:pt idx="1">
                  <c:v>4.32</c:v>
                </c:pt>
                <c:pt idx="2">
                  <c:v>5.8</c:v>
                </c:pt>
                <c:pt idx="3">
                  <c:v>5.72</c:v>
                </c:pt>
                <c:pt idx="4">
                  <c:v>5.17</c:v>
                </c:pt>
                <c:pt idx="5">
                  <c:v>4.45</c:v>
                </c:pt>
                <c:pt idx="6">
                  <c:v>4.3600000000000003</c:v>
                </c:pt>
                <c:pt idx="7">
                  <c:v>4.46</c:v>
                </c:pt>
                <c:pt idx="8">
                  <c:v>4.5</c:v>
                </c:pt>
                <c:pt idx="9">
                  <c:v>5.17</c:v>
                </c:pt>
                <c:pt idx="10">
                  <c:v>6.17</c:v>
                </c:pt>
                <c:pt idx="11">
                  <c:v>6.02</c:v>
                </c:pt>
              </c:numCache>
            </c:numRef>
          </c:cat>
          <c:val>
            <c:numRef>
              <c:f>TABLICA!$C$104:$C$115</c:f>
              <c:numCache>
                <c:formatCode>#\ ##0.0</c:formatCode>
                <c:ptCount val="12"/>
                <c:pt idx="0">
                  <c:v>102.6</c:v>
                </c:pt>
                <c:pt idx="1">
                  <c:v>104.3</c:v>
                </c:pt>
                <c:pt idx="2">
                  <c:v>103.7</c:v>
                </c:pt>
                <c:pt idx="3">
                  <c:v>100.9</c:v>
                </c:pt>
                <c:pt idx="4">
                  <c:v>100</c:v>
                </c:pt>
                <c:pt idx="5">
                  <c:v>99.1</c:v>
                </c:pt>
                <c:pt idx="6">
                  <c:v>99.4</c:v>
                </c:pt>
                <c:pt idx="7">
                  <c:v>102</c:v>
                </c:pt>
                <c:pt idx="8">
                  <c:v>101.6</c:v>
                </c:pt>
                <c:pt idx="9">
                  <c:v>102.3</c:v>
                </c:pt>
                <c:pt idx="10">
                  <c:v>103.4</c:v>
                </c:pt>
                <c:pt idx="11">
                  <c:v>105.1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65-426A-BB35-7D6EEA166FCC}"/>
            </c:ext>
          </c:extLst>
        </c:ser>
        <c:ser>
          <c:idx val="1"/>
          <c:order val="1"/>
          <c:tx>
            <c:v>Przewidywane Y</c:v>
          </c:tx>
          <c:marker>
            <c:symbol val="none"/>
          </c:marker>
          <c:cat>
            <c:numRef>
              <c:f>TABLICA!$D$104:$D$115</c:f>
              <c:numCache>
                <c:formatCode>#,##0.00</c:formatCode>
                <c:ptCount val="12"/>
                <c:pt idx="0">
                  <c:v>3.86</c:v>
                </c:pt>
                <c:pt idx="1">
                  <c:v>4.32</c:v>
                </c:pt>
                <c:pt idx="2">
                  <c:v>5.8</c:v>
                </c:pt>
                <c:pt idx="3">
                  <c:v>5.72</c:v>
                </c:pt>
                <c:pt idx="4">
                  <c:v>5.17</c:v>
                </c:pt>
                <c:pt idx="5">
                  <c:v>4.45</c:v>
                </c:pt>
                <c:pt idx="6">
                  <c:v>4.3600000000000003</c:v>
                </c:pt>
                <c:pt idx="7">
                  <c:v>4.46</c:v>
                </c:pt>
                <c:pt idx="8">
                  <c:v>4.5</c:v>
                </c:pt>
                <c:pt idx="9">
                  <c:v>5.17</c:v>
                </c:pt>
                <c:pt idx="10">
                  <c:v>6.17</c:v>
                </c:pt>
                <c:pt idx="11">
                  <c:v>6.02</c:v>
                </c:pt>
              </c:numCache>
            </c:numRef>
          </c:cat>
          <c:val>
            <c:numRef>
              <c:f>TABLICA!$C$168:$C$179</c:f>
              <c:numCache>
                <c:formatCode>General</c:formatCode>
                <c:ptCount val="12"/>
                <c:pt idx="0">
                  <c:v>102.93822130575127</c:v>
                </c:pt>
                <c:pt idx="1">
                  <c:v>101.3926598163566</c:v>
                </c:pt>
                <c:pt idx="2">
                  <c:v>103.16194149800781</c:v>
                </c:pt>
                <c:pt idx="3">
                  <c:v>102.0937865519516</c:v>
                </c:pt>
                <c:pt idx="4">
                  <c:v>100.89441799387401</c:v>
                </c:pt>
                <c:pt idx="5">
                  <c:v>100.30585928254357</c:v>
                </c:pt>
                <c:pt idx="6">
                  <c:v>99.524832484565565</c:v>
                </c:pt>
                <c:pt idx="7">
                  <c:v>101.22495714517675</c:v>
                </c:pt>
                <c:pt idx="8">
                  <c:v>102.42109280177236</c:v>
                </c:pt>
                <c:pt idx="9">
                  <c:v>103.33873653564784</c:v>
                </c:pt>
                <c:pt idx="10">
                  <c:v>102.13626237741349</c:v>
                </c:pt>
                <c:pt idx="11">
                  <c:v>104.96723220693877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65-426A-BB35-7D6EEA166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9956032"/>
        <c:axId val="259959776"/>
      </c:lineChart>
      <c:catAx>
        <c:axId val="259956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Zmienna X 1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259959776"/>
        <c:crosses val="autoZero"/>
        <c:auto val="1"/>
        <c:lblAlgn val="ctr"/>
        <c:lblOffset val="100"/>
        <c:noMultiLvlLbl val="1"/>
      </c:catAx>
      <c:valAx>
        <c:axId val="2599597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Y</a:t>
                </a:r>
              </a:p>
            </c:rich>
          </c:tx>
          <c:overlay val="0"/>
        </c:title>
        <c:numFmt formatCode="#\ ##0.0" sourceLinked="1"/>
        <c:majorTickMark val="out"/>
        <c:minorTickMark val="none"/>
        <c:tickLblPos val="nextTo"/>
        <c:crossAx val="259956032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Zmienna X 2 Rozkład linii dopasowanej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</c:v>
          </c:tx>
          <c:marker>
            <c:symbol val="none"/>
          </c:marker>
          <c:cat>
            <c:numRef>
              <c:f>TABLICA!$E$104:$E$115</c:f>
              <c:numCache>
                <c:formatCode>#,##0.00</c:formatCode>
                <c:ptCount val="12"/>
                <c:pt idx="0">
                  <c:v>4.5599999999999996</c:v>
                </c:pt>
                <c:pt idx="1">
                  <c:v>5.18</c:v>
                </c:pt>
                <c:pt idx="2">
                  <c:v>6.5</c:v>
                </c:pt>
                <c:pt idx="3">
                  <c:v>6.35</c:v>
                </c:pt>
                <c:pt idx="4">
                  <c:v>6.15</c:v>
                </c:pt>
                <c:pt idx="5">
                  <c:v>5.72</c:v>
                </c:pt>
                <c:pt idx="6">
                  <c:v>5.58</c:v>
                </c:pt>
                <c:pt idx="7">
                  <c:v>6</c:v>
                </c:pt>
                <c:pt idx="8">
                  <c:v>6.11</c:v>
                </c:pt>
                <c:pt idx="9">
                  <c:v>6.56</c:v>
                </c:pt>
                <c:pt idx="10">
                  <c:v>7.78</c:v>
                </c:pt>
                <c:pt idx="11">
                  <c:v>7.6</c:v>
                </c:pt>
              </c:numCache>
            </c:numRef>
          </c:cat>
          <c:val>
            <c:numRef>
              <c:f>TABLICA!$C$104:$C$115</c:f>
              <c:numCache>
                <c:formatCode>#\ ##0.0</c:formatCode>
                <c:ptCount val="12"/>
                <c:pt idx="0">
                  <c:v>102.6</c:v>
                </c:pt>
                <c:pt idx="1">
                  <c:v>104.3</c:v>
                </c:pt>
                <c:pt idx="2">
                  <c:v>103.7</c:v>
                </c:pt>
                <c:pt idx="3">
                  <c:v>100.9</c:v>
                </c:pt>
                <c:pt idx="4">
                  <c:v>100</c:v>
                </c:pt>
                <c:pt idx="5">
                  <c:v>99.1</c:v>
                </c:pt>
                <c:pt idx="6">
                  <c:v>99.4</c:v>
                </c:pt>
                <c:pt idx="7">
                  <c:v>102</c:v>
                </c:pt>
                <c:pt idx="8">
                  <c:v>101.6</c:v>
                </c:pt>
                <c:pt idx="9">
                  <c:v>102.3</c:v>
                </c:pt>
                <c:pt idx="10">
                  <c:v>103.4</c:v>
                </c:pt>
                <c:pt idx="11">
                  <c:v>105.1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90-49B5-A7F9-F69F1759DC82}"/>
            </c:ext>
          </c:extLst>
        </c:ser>
        <c:ser>
          <c:idx val="1"/>
          <c:order val="1"/>
          <c:tx>
            <c:v>Przewidywane Y</c:v>
          </c:tx>
          <c:marker>
            <c:symbol val="none"/>
          </c:marker>
          <c:cat>
            <c:numRef>
              <c:f>TABLICA!$E$104:$E$115</c:f>
              <c:numCache>
                <c:formatCode>#,##0.00</c:formatCode>
                <c:ptCount val="12"/>
                <c:pt idx="0">
                  <c:v>4.5599999999999996</c:v>
                </c:pt>
                <c:pt idx="1">
                  <c:v>5.18</c:v>
                </c:pt>
                <c:pt idx="2">
                  <c:v>6.5</c:v>
                </c:pt>
                <c:pt idx="3">
                  <c:v>6.35</c:v>
                </c:pt>
                <c:pt idx="4">
                  <c:v>6.15</c:v>
                </c:pt>
                <c:pt idx="5">
                  <c:v>5.72</c:v>
                </c:pt>
                <c:pt idx="6">
                  <c:v>5.58</c:v>
                </c:pt>
                <c:pt idx="7">
                  <c:v>6</c:v>
                </c:pt>
                <c:pt idx="8">
                  <c:v>6.11</c:v>
                </c:pt>
                <c:pt idx="9">
                  <c:v>6.56</c:v>
                </c:pt>
                <c:pt idx="10">
                  <c:v>7.78</c:v>
                </c:pt>
                <c:pt idx="11">
                  <c:v>7.6</c:v>
                </c:pt>
              </c:numCache>
            </c:numRef>
          </c:cat>
          <c:val>
            <c:numRef>
              <c:f>TABLICA!$C$168:$C$179</c:f>
              <c:numCache>
                <c:formatCode>General</c:formatCode>
                <c:ptCount val="12"/>
                <c:pt idx="0">
                  <c:v>102.93822130575127</c:v>
                </c:pt>
                <c:pt idx="1">
                  <c:v>101.3926598163566</c:v>
                </c:pt>
                <c:pt idx="2">
                  <c:v>103.16194149800781</c:v>
                </c:pt>
                <c:pt idx="3">
                  <c:v>102.0937865519516</c:v>
                </c:pt>
                <c:pt idx="4">
                  <c:v>100.89441799387401</c:v>
                </c:pt>
                <c:pt idx="5">
                  <c:v>100.30585928254357</c:v>
                </c:pt>
                <c:pt idx="6">
                  <c:v>99.524832484565565</c:v>
                </c:pt>
                <c:pt idx="7">
                  <c:v>101.22495714517675</c:v>
                </c:pt>
                <c:pt idx="8">
                  <c:v>102.42109280177236</c:v>
                </c:pt>
                <c:pt idx="9">
                  <c:v>103.33873653564784</c:v>
                </c:pt>
                <c:pt idx="10">
                  <c:v>102.13626237741349</c:v>
                </c:pt>
                <c:pt idx="11">
                  <c:v>104.96723220693877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90-49B5-A7F9-F69F1759D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9966848"/>
        <c:axId val="259967264"/>
      </c:lineChart>
      <c:catAx>
        <c:axId val="25996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Zmienna X 2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259967264"/>
        <c:crosses val="autoZero"/>
        <c:auto val="1"/>
        <c:lblAlgn val="ctr"/>
        <c:lblOffset val="100"/>
        <c:noMultiLvlLbl val="1"/>
      </c:catAx>
      <c:valAx>
        <c:axId val="2599672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Y</a:t>
                </a:r>
              </a:p>
            </c:rich>
          </c:tx>
          <c:overlay val="0"/>
        </c:title>
        <c:numFmt formatCode="#\ ##0.0" sourceLinked="1"/>
        <c:majorTickMark val="out"/>
        <c:minorTickMark val="none"/>
        <c:tickLblPos val="nextTo"/>
        <c:crossAx val="259966848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Zmienna X 4 Rozkład linii dopasowanej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2653526365820131"/>
          <c:y val="0.3938126024380445"/>
          <c:w val="0.48297222848617549"/>
          <c:h val="0.28846248589929363"/>
        </c:manualLayout>
      </c:layout>
      <c:lineChart>
        <c:grouping val="standard"/>
        <c:varyColors val="0"/>
        <c:ser>
          <c:idx val="0"/>
          <c:order val="0"/>
          <c:tx>
            <c:v>Y</c:v>
          </c:tx>
          <c:marker>
            <c:symbol val="none"/>
          </c:marker>
          <c:cat>
            <c:numRef>
              <c:f>TABLICA!$F$104:$F$115</c:f>
              <c:numCache>
                <c:formatCode>#,##0.00</c:formatCode>
                <c:ptCount val="12"/>
                <c:pt idx="0">
                  <c:v>15.05</c:v>
                </c:pt>
                <c:pt idx="1">
                  <c:v>16.91</c:v>
                </c:pt>
                <c:pt idx="2">
                  <c:v>15.95</c:v>
                </c:pt>
                <c:pt idx="3">
                  <c:v>17.23</c:v>
                </c:pt>
                <c:pt idx="4">
                  <c:v>17.05</c:v>
                </c:pt>
                <c:pt idx="5">
                  <c:v>15.15</c:v>
                </c:pt>
                <c:pt idx="6">
                  <c:v>16.190000000000001</c:v>
                </c:pt>
                <c:pt idx="7">
                  <c:v>22.85</c:v>
                </c:pt>
                <c:pt idx="8">
                  <c:v>23.89</c:v>
                </c:pt>
                <c:pt idx="9">
                  <c:v>21</c:v>
                </c:pt>
                <c:pt idx="10">
                  <c:v>19.170000000000002</c:v>
                </c:pt>
                <c:pt idx="11">
                  <c:v>22.2</c:v>
                </c:pt>
              </c:numCache>
            </c:numRef>
          </c:cat>
          <c:val>
            <c:numRef>
              <c:f>TABLICA!$C$104:$C$115</c:f>
              <c:numCache>
                <c:formatCode>#\ ##0.0</c:formatCode>
                <c:ptCount val="12"/>
                <c:pt idx="0">
                  <c:v>102.6</c:v>
                </c:pt>
                <c:pt idx="1">
                  <c:v>104.3</c:v>
                </c:pt>
                <c:pt idx="2">
                  <c:v>103.7</c:v>
                </c:pt>
                <c:pt idx="3">
                  <c:v>100.9</c:v>
                </c:pt>
                <c:pt idx="4">
                  <c:v>100</c:v>
                </c:pt>
                <c:pt idx="5">
                  <c:v>99.1</c:v>
                </c:pt>
                <c:pt idx="6">
                  <c:v>99.4</c:v>
                </c:pt>
                <c:pt idx="7">
                  <c:v>102</c:v>
                </c:pt>
                <c:pt idx="8">
                  <c:v>101.6</c:v>
                </c:pt>
                <c:pt idx="9">
                  <c:v>102.3</c:v>
                </c:pt>
                <c:pt idx="10">
                  <c:v>103.4</c:v>
                </c:pt>
                <c:pt idx="11">
                  <c:v>105.1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8B-43E4-B672-B43AEB7AF9CA}"/>
            </c:ext>
          </c:extLst>
        </c:ser>
        <c:ser>
          <c:idx val="1"/>
          <c:order val="1"/>
          <c:tx>
            <c:v>Przewidywane Y</c:v>
          </c:tx>
          <c:marker>
            <c:symbol val="none"/>
          </c:marker>
          <c:cat>
            <c:numRef>
              <c:f>TABLICA!$F$104:$F$115</c:f>
              <c:numCache>
                <c:formatCode>#,##0.00</c:formatCode>
                <c:ptCount val="12"/>
                <c:pt idx="0">
                  <c:v>15.05</c:v>
                </c:pt>
                <c:pt idx="1">
                  <c:v>16.91</c:v>
                </c:pt>
                <c:pt idx="2">
                  <c:v>15.95</c:v>
                </c:pt>
                <c:pt idx="3">
                  <c:v>17.23</c:v>
                </c:pt>
                <c:pt idx="4">
                  <c:v>17.05</c:v>
                </c:pt>
                <c:pt idx="5">
                  <c:v>15.15</c:v>
                </c:pt>
                <c:pt idx="6">
                  <c:v>16.190000000000001</c:v>
                </c:pt>
                <c:pt idx="7">
                  <c:v>22.85</c:v>
                </c:pt>
                <c:pt idx="8">
                  <c:v>23.89</c:v>
                </c:pt>
                <c:pt idx="9">
                  <c:v>21</c:v>
                </c:pt>
                <c:pt idx="10">
                  <c:v>19.170000000000002</c:v>
                </c:pt>
                <c:pt idx="11">
                  <c:v>22.2</c:v>
                </c:pt>
              </c:numCache>
            </c:numRef>
          </c:cat>
          <c:val>
            <c:numRef>
              <c:f>TABLICA!$C$168:$C$179</c:f>
              <c:numCache>
                <c:formatCode>General</c:formatCode>
                <c:ptCount val="12"/>
                <c:pt idx="0">
                  <c:v>102.93822130575127</c:v>
                </c:pt>
                <c:pt idx="1">
                  <c:v>101.3926598163566</c:v>
                </c:pt>
                <c:pt idx="2">
                  <c:v>103.16194149800781</c:v>
                </c:pt>
                <c:pt idx="3">
                  <c:v>102.0937865519516</c:v>
                </c:pt>
                <c:pt idx="4">
                  <c:v>100.89441799387401</c:v>
                </c:pt>
                <c:pt idx="5">
                  <c:v>100.30585928254357</c:v>
                </c:pt>
                <c:pt idx="6">
                  <c:v>99.524832484565565</c:v>
                </c:pt>
                <c:pt idx="7">
                  <c:v>101.22495714517675</c:v>
                </c:pt>
                <c:pt idx="8">
                  <c:v>102.42109280177236</c:v>
                </c:pt>
                <c:pt idx="9">
                  <c:v>103.33873653564784</c:v>
                </c:pt>
                <c:pt idx="10">
                  <c:v>102.13626237741349</c:v>
                </c:pt>
                <c:pt idx="11">
                  <c:v>104.96723220693877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8B-43E4-B672-B43AEB7AF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9956032"/>
        <c:axId val="259966016"/>
      </c:lineChart>
      <c:catAx>
        <c:axId val="259956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Zmienna X 4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259966016"/>
        <c:crosses val="autoZero"/>
        <c:auto val="1"/>
        <c:lblAlgn val="ctr"/>
        <c:lblOffset val="100"/>
        <c:noMultiLvlLbl val="1"/>
      </c:catAx>
      <c:valAx>
        <c:axId val="2599660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Y</a:t>
                </a:r>
              </a:p>
            </c:rich>
          </c:tx>
          <c:overlay val="0"/>
        </c:title>
        <c:numFmt formatCode="#\ ##0.0" sourceLinked="1"/>
        <c:majorTickMark val="out"/>
        <c:minorTickMark val="none"/>
        <c:tickLblPos val="nextTo"/>
        <c:crossAx val="259956032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Zmienna X 6 Rozkład linii dopasowanej</a:t>
            </a:r>
          </a:p>
        </c:rich>
      </c:tx>
      <c:layout>
        <c:manualLayout>
          <c:xMode val="edge"/>
          <c:yMode val="edge"/>
          <c:x val="0.22363025065475084"/>
          <c:y val="3.851618619176631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</c:v>
          </c:tx>
          <c:marker>
            <c:symbol val="none"/>
          </c:marker>
          <c:cat>
            <c:numRef>
              <c:f>TABLICA!$G$104:$G$115</c:f>
              <c:numCache>
                <c:formatCode>General</c:formatCode>
                <c:ptCount val="12"/>
                <c:pt idx="0" formatCode="#,##0.00">
                  <c:v>0.27</c:v>
                </c:pt>
                <c:pt idx="1">
                  <c:v>0.26</c:v>
                </c:pt>
                <c:pt idx="2">
                  <c:v>0.41</c:v>
                </c:pt>
                <c:pt idx="3">
                  <c:v>0.32</c:v>
                </c:pt>
                <c:pt idx="4">
                  <c:v>0.28999999999999998</c:v>
                </c:pt>
                <c:pt idx="5">
                  <c:v>0.3</c:v>
                </c:pt>
                <c:pt idx="6">
                  <c:v>0.26</c:v>
                </c:pt>
                <c:pt idx="7">
                  <c:v>0.35</c:v>
                </c:pt>
                <c:pt idx="8">
                  <c:v>0.32</c:v>
                </c:pt>
                <c:pt idx="9">
                  <c:v>0.3</c:v>
                </c:pt>
                <c:pt idx="10">
                  <c:v>0.32</c:v>
                </c:pt>
                <c:pt idx="11">
                  <c:v>0.37</c:v>
                </c:pt>
              </c:numCache>
            </c:numRef>
          </c:cat>
          <c:val>
            <c:numRef>
              <c:f>TABLICA!$C$104:$C$115</c:f>
              <c:numCache>
                <c:formatCode>#\ ##0.0</c:formatCode>
                <c:ptCount val="12"/>
                <c:pt idx="0">
                  <c:v>102.6</c:v>
                </c:pt>
                <c:pt idx="1">
                  <c:v>104.3</c:v>
                </c:pt>
                <c:pt idx="2">
                  <c:v>103.7</c:v>
                </c:pt>
                <c:pt idx="3">
                  <c:v>100.9</c:v>
                </c:pt>
                <c:pt idx="4">
                  <c:v>100</c:v>
                </c:pt>
                <c:pt idx="5">
                  <c:v>99.1</c:v>
                </c:pt>
                <c:pt idx="6">
                  <c:v>99.4</c:v>
                </c:pt>
                <c:pt idx="7">
                  <c:v>102</c:v>
                </c:pt>
                <c:pt idx="8">
                  <c:v>101.6</c:v>
                </c:pt>
                <c:pt idx="9">
                  <c:v>102.3</c:v>
                </c:pt>
                <c:pt idx="10">
                  <c:v>103.4</c:v>
                </c:pt>
                <c:pt idx="11">
                  <c:v>105.1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AA-460D-84DC-D8DF1B043934}"/>
            </c:ext>
          </c:extLst>
        </c:ser>
        <c:ser>
          <c:idx val="1"/>
          <c:order val="1"/>
          <c:tx>
            <c:v>Przewidywane Y</c:v>
          </c:tx>
          <c:marker>
            <c:symbol val="none"/>
          </c:marker>
          <c:cat>
            <c:numRef>
              <c:f>TABLICA!$G$104:$G$115</c:f>
              <c:numCache>
                <c:formatCode>General</c:formatCode>
                <c:ptCount val="12"/>
                <c:pt idx="0" formatCode="#,##0.00">
                  <c:v>0.27</c:v>
                </c:pt>
                <c:pt idx="1">
                  <c:v>0.26</c:v>
                </c:pt>
                <c:pt idx="2">
                  <c:v>0.41</c:v>
                </c:pt>
                <c:pt idx="3">
                  <c:v>0.32</c:v>
                </c:pt>
                <c:pt idx="4">
                  <c:v>0.28999999999999998</c:v>
                </c:pt>
                <c:pt idx="5">
                  <c:v>0.3</c:v>
                </c:pt>
                <c:pt idx="6">
                  <c:v>0.26</c:v>
                </c:pt>
                <c:pt idx="7">
                  <c:v>0.35</c:v>
                </c:pt>
                <c:pt idx="8">
                  <c:v>0.32</c:v>
                </c:pt>
                <c:pt idx="9">
                  <c:v>0.3</c:v>
                </c:pt>
                <c:pt idx="10">
                  <c:v>0.32</c:v>
                </c:pt>
                <c:pt idx="11">
                  <c:v>0.37</c:v>
                </c:pt>
              </c:numCache>
            </c:numRef>
          </c:cat>
          <c:val>
            <c:numRef>
              <c:f>TABLICA!$C$168:$C$179</c:f>
              <c:numCache>
                <c:formatCode>General</c:formatCode>
                <c:ptCount val="12"/>
                <c:pt idx="0">
                  <c:v>102.93822130575127</c:v>
                </c:pt>
                <c:pt idx="1">
                  <c:v>101.3926598163566</c:v>
                </c:pt>
                <c:pt idx="2">
                  <c:v>103.16194149800781</c:v>
                </c:pt>
                <c:pt idx="3">
                  <c:v>102.0937865519516</c:v>
                </c:pt>
                <c:pt idx="4">
                  <c:v>100.89441799387401</c:v>
                </c:pt>
                <c:pt idx="5">
                  <c:v>100.30585928254357</c:v>
                </c:pt>
                <c:pt idx="6">
                  <c:v>99.524832484565565</c:v>
                </c:pt>
                <c:pt idx="7">
                  <c:v>101.22495714517675</c:v>
                </c:pt>
                <c:pt idx="8">
                  <c:v>102.42109280177236</c:v>
                </c:pt>
                <c:pt idx="9">
                  <c:v>103.33873653564784</c:v>
                </c:pt>
                <c:pt idx="10">
                  <c:v>102.13626237741349</c:v>
                </c:pt>
                <c:pt idx="11">
                  <c:v>104.96723220693877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AA-460D-84DC-D8DF1B043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9953120"/>
        <c:axId val="259960192"/>
      </c:lineChart>
      <c:catAx>
        <c:axId val="25995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Zmienna X 6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259960192"/>
        <c:crosses val="autoZero"/>
        <c:auto val="1"/>
        <c:lblAlgn val="ctr"/>
        <c:lblOffset val="100"/>
        <c:noMultiLvlLbl val="1"/>
      </c:catAx>
      <c:valAx>
        <c:axId val="2599601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Y</a:t>
                </a:r>
              </a:p>
            </c:rich>
          </c:tx>
          <c:overlay val="0"/>
        </c:title>
        <c:numFmt formatCode="#\ ##0.0" sourceLinked="1"/>
        <c:majorTickMark val="out"/>
        <c:minorTickMark val="none"/>
        <c:tickLblPos val="nextTo"/>
        <c:crossAx val="259953120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Zmienna X 8 Rozkład linii dopasowanej</a:t>
            </a:r>
          </a:p>
        </c:rich>
      </c:tx>
      <c:layout>
        <c:manualLayout>
          <c:xMode val="edge"/>
          <c:yMode val="edge"/>
          <c:x val="0.19439780572702839"/>
          <c:y val="3.1898756567587665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</c:v>
          </c:tx>
          <c:marker>
            <c:symbol val="none"/>
          </c:marker>
          <c:cat>
            <c:numRef>
              <c:f>TABLICA!$H$104:$H$115</c:f>
              <c:numCache>
                <c:formatCode>#,##0.00</c:formatCode>
                <c:ptCount val="12"/>
                <c:pt idx="0">
                  <c:v>5.47</c:v>
                </c:pt>
                <c:pt idx="1">
                  <c:v>5.56</c:v>
                </c:pt>
                <c:pt idx="2">
                  <c:v>5.59</c:v>
                </c:pt>
                <c:pt idx="3">
                  <c:v>5.7</c:v>
                </c:pt>
                <c:pt idx="4">
                  <c:v>5.75</c:v>
                </c:pt>
                <c:pt idx="5">
                  <c:v>5.57</c:v>
                </c:pt>
                <c:pt idx="6">
                  <c:v>5.52</c:v>
                </c:pt>
                <c:pt idx="7">
                  <c:v>6.09</c:v>
                </c:pt>
                <c:pt idx="8">
                  <c:v>6.64</c:v>
                </c:pt>
                <c:pt idx="9">
                  <c:v>6.86</c:v>
                </c:pt>
                <c:pt idx="10">
                  <c:v>7.04</c:v>
                </c:pt>
                <c:pt idx="11">
                  <c:v>7.47</c:v>
                </c:pt>
              </c:numCache>
            </c:numRef>
          </c:cat>
          <c:val>
            <c:numRef>
              <c:f>TABLICA!$C$104:$C$115</c:f>
              <c:numCache>
                <c:formatCode>#\ ##0.0</c:formatCode>
                <c:ptCount val="12"/>
                <c:pt idx="0">
                  <c:v>102.6</c:v>
                </c:pt>
                <c:pt idx="1">
                  <c:v>104.3</c:v>
                </c:pt>
                <c:pt idx="2">
                  <c:v>103.7</c:v>
                </c:pt>
                <c:pt idx="3">
                  <c:v>100.9</c:v>
                </c:pt>
                <c:pt idx="4">
                  <c:v>100</c:v>
                </c:pt>
                <c:pt idx="5">
                  <c:v>99.1</c:v>
                </c:pt>
                <c:pt idx="6">
                  <c:v>99.4</c:v>
                </c:pt>
                <c:pt idx="7">
                  <c:v>102</c:v>
                </c:pt>
                <c:pt idx="8">
                  <c:v>101.6</c:v>
                </c:pt>
                <c:pt idx="9">
                  <c:v>102.3</c:v>
                </c:pt>
                <c:pt idx="10">
                  <c:v>103.4</c:v>
                </c:pt>
                <c:pt idx="11">
                  <c:v>105.1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8A-4D1E-A9F8-AE0D63375587}"/>
            </c:ext>
          </c:extLst>
        </c:ser>
        <c:ser>
          <c:idx val="1"/>
          <c:order val="1"/>
          <c:tx>
            <c:v>Przewidywane Y</c:v>
          </c:tx>
          <c:marker>
            <c:symbol val="none"/>
          </c:marker>
          <c:cat>
            <c:numRef>
              <c:f>TABLICA!$H$104:$H$115</c:f>
              <c:numCache>
                <c:formatCode>#,##0.00</c:formatCode>
                <c:ptCount val="12"/>
                <c:pt idx="0">
                  <c:v>5.47</c:v>
                </c:pt>
                <c:pt idx="1">
                  <c:v>5.56</c:v>
                </c:pt>
                <c:pt idx="2">
                  <c:v>5.59</c:v>
                </c:pt>
                <c:pt idx="3">
                  <c:v>5.7</c:v>
                </c:pt>
                <c:pt idx="4">
                  <c:v>5.75</c:v>
                </c:pt>
                <c:pt idx="5">
                  <c:v>5.57</c:v>
                </c:pt>
                <c:pt idx="6">
                  <c:v>5.52</c:v>
                </c:pt>
                <c:pt idx="7">
                  <c:v>6.09</c:v>
                </c:pt>
                <c:pt idx="8">
                  <c:v>6.64</c:v>
                </c:pt>
                <c:pt idx="9">
                  <c:v>6.86</c:v>
                </c:pt>
                <c:pt idx="10">
                  <c:v>7.04</c:v>
                </c:pt>
                <c:pt idx="11">
                  <c:v>7.47</c:v>
                </c:pt>
              </c:numCache>
            </c:numRef>
          </c:cat>
          <c:val>
            <c:numRef>
              <c:f>TABLICA!$C$168:$C$179</c:f>
              <c:numCache>
                <c:formatCode>General</c:formatCode>
                <c:ptCount val="12"/>
                <c:pt idx="0">
                  <c:v>102.93822130575127</c:v>
                </c:pt>
                <c:pt idx="1">
                  <c:v>101.3926598163566</c:v>
                </c:pt>
                <c:pt idx="2">
                  <c:v>103.16194149800781</c:v>
                </c:pt>
                <c:pt idx="3">
                  <c:v>102.0937865519516</c:v>
                </c:pt>
                <c:pt idx="4">
                  <c:v>100.89441799387401</c:v>
                </c:pt>
                <c:pt idx="5">
                  <c:v>100.30585928254357</c:v>
                </c:pt>
                <c:pt idx="6">
                  <c:v>99.524832484565565</c:v>
                </c:pt>
                <c:pt idx="7">
                  <c:v>101.22495714517675</c:v>
                </c:pt>
                <c:pt idx="8">
                  <c:v>102.42109280177236</c:v>
                </c:pt>
                <c:pt idx="9">
                  <c:v>103.33873653564784</c:v>
                </c:pt>
                <c:pt idx="10">
                  <c:v>102.13626237741349</c:v>
                </c:pt>
                <c:pt idx="11">
                  <c:v>104.96723220693877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8A-4D1E-A9F8-AE0D63375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9962688"/>
        <c:axId val="259956864"/>
      </c:lineChart>
      <c:catAx>
        <c:axId val="259962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Zmienna X 8</a:t>
                </a:r>
              </a:p>
            </c:rich>
          </c:tx>
          <c:layout>
            <c:manualLayout>
              <c:xMode val="edge"/>
              <c:yMode val="edge"/>
              <c:x val="0.34067030406884025"/>
              <c:y val="0.83216130073428562"/>
            </c:manualLayout>
          </c:layout>
          <c:overlay val="0"/>
        </c:title>
        <c:numFmt formatCode="#,##0.00" sourceLinked="1"/>
        <c:majorTickMark val="out"/>
        <c:minorTickMark val="none"/>
        <c:tickLblPos val="nextTo"/>
        <c:crossAx val="259956864"/>
        <c:crosses val="autoZero"/>
        <c:auto val="1"/>
        <c:lblAlgn val="ctr"/>
        <c:lblOffset val="100"/>
        <c:noMultiLvlLbl val="1"/>
      </c:catAx>
      <c:valAx>
        <c:axId val="2599568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Y</a:t>
                </a:r>
              </a:p>
            </c:rich>
          </c:tx>
          <c:overlay val="0"/>
        </c:title>
        <c:numFmt formatCode="#\ ##0.0" sourceLinked="1"/>
        <c:majorTickMark val="out"/>
        <c:minorTickMark val="none"/>
        <c:tickLblPos val="nextTo"/>
        <c:crossAx val="259962688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1.png"/><Relationship Id="rId7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11" Type="http://schemas.openxmlformats.org/officeDocument/2006/relationships/chart" Target="../charts/chart7.xml"/><Relationship Id="rId5" Type="http://schemas.openxmlformats.org/officeDocument/2006/relationships/image" Target="../media/image3.png"/><Relationship Id="rId10" Type="http://schemas.openxmlformats.org/officeDocument/2006/relationships/chart" Target="../charts/chart6.xml"/><Relationship Id="rId4" Type="http://schemas.openxmlformats.org/officeDocument/2006/relationships/image" Target="../media/image2.png"/><Relationship Id="rId9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41462</xdr:colOff>
      <xdr:row>145</xdr:row>
      <xdr:rowOff>175931</xdr:rowOff>
    </xdr:from>
    <xdr:ext cx="7707174" cy="2528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360A3F94-00C5-0242-23F1-82CB5ACC978B}"/>
                </a:ext>
              </a:extLst>
            </xdr:cNvPr>
            <xdr:cNvSpPr txBox="1"/>
          </xdr:nvSpPr>
          <xdr:spPr>
            <a:xfrm>
              <a:off x="9465609" y="27439843"/>
              <a:ext cx="7707174" cy="2528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pl-PL" sz="16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acc>
                    <m:r>
                      <a:rPr lang="pl-PL" sz="1600" b="0" i="1">
                        <a:latin typeface="Cambria Math" panose="02040503050406030204" pitchFamily="18" charset="0"/>
                      </a:rPr>
                      <m:t>= </m:t>
                    </m:r>
                    <m:sSub>
                      <m:sSubPr>
                        <m:ctrlPr>
                          <a:rPr lang="pl-PL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pl-PL" sz="16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" panose="02040503050406030204" pitchFamily="18" charset="0"/>
                            <a:ea typeface="Cambria" panose="02040503050406030204" pitchFamily="18" charset="0"/>
                            <a:cs typeface="+mn-cs"/>
                          </a:rPr>
                          <m:t>8962,186</m:t>
                        </m:r>
                        <m:r>
                          <m:rPr>
                            <m:nor/>
                          </m:rPr>
                          <a:rPr lang="pl-PL" sz="1600">
                            <a:latin typeface="Cambria" panose="02040503050406030204" pitchFamily="18" charset="0"/>
                            <a:ea typeface="Cambria" panose="02040503050406030204" pitchFamily="18" charset="0"/>
                          </a:rPr>
                          <m:t> </m:t>
                        </m:r>
                        <m:r>
                          <a:rPr lang="pl-PL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l-PL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1 </m:t>
                        </m:r>
                      </m:sub>
                    </m:sSub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effectLst/>
                        <a:latin typeface="Cambria" panose="02040503050406030204" pitchFamily="18" charset="0"/>
                        <a:ea typeface="Cambria" panose="02040503050406030204" pitchFamily="18" charset="0"/>
                        <a:cs typeface="+mn-cs"/>
                      </a:rPr>
                      <m:t>− </m:t>
                    </m:r>
                    <m:r>
                      <m:rPr>
                        <m:nor/>
                      </m:rPr>
                      <a:rPr lang="pl-PL" sz="1600" b="0" i="0" u="none" strike="noStrike">
                        <a:solidFill>
                          <a:schemeClr val="tx1"/>
                        </a:solidFill>
                        <a:effectLst/>
                        <a:latin typeface="Cambria" panose="02040503050406030204" pitchFamily="18" charset="0"/>
                        <a:ea typeface="Cambria" panose="02040503050406030204" pitchFamily="18" charset="0"/>
                        <a:cs typeface="+mn-cs"/>
                      </a:rPr>
                      <m:t>72498,6</m:t>
                    </m:r>
                    <m:r>
                      <m:rPr>
                        <m:nor/>
                      </m:rPr>
                      <a:rPr lang="pl-PL" sz="1600">
                        <a:latin typeface="Cambria" panose="02040503050406030204" pitchFamily="18" charset="0"/>
                        <a:ea typeface="Cambria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pl-PL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l-PL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l-PL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sSub>
                      <m:sSubPr>
                        <m:ctrlPr>
                          <a:rPr lang="pl-PL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l-PL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 </m:t>
                        </m:r>
                        <m:r>
                          <m:rPr>
                            <m:nor/>
                          </m:rPr>
                          <a:rPr lang="pl-PL" sz="16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" panose="02040503050406030204" pitchFamily="18" charset="0"/>
                            <a:ea typeface="Cambria" panose="02040503050406030204" pitchFamily="18" charset="0"/>
                            <a:cs typeface="+mn-cs"/>
                          </a:rPr>
                          <m:t>49012,13</m:t>
                        </m:r>
                        <m:r>
                          <m:rPr>
                            <m:nor/>
                          </m:rPr>
                          <a:rPr lang="pl-PL" sz="1600">
                            <a:latin typeface="Cambria" panose="02040503050406030204" pitchFamily="18" charset="0"/>
                            <a:ea typeface="Cambria" panose="02040503050406030204" pitchFamily="18" charset="0"/>
                          </a:rPr>
                          <m:t> </m:t>
                        </m:r>
                        <m:r>
                          <a:rPr lang="pl-PL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l-PL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sub>
                    </m:sSub>
                    <m:sSub>
                      <m:sSubPr>
                        <m:ctrlPr>
                          <a:rPr lang="pl-PL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l-PL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 </m:t>
                        </m:r>
                        <m:r>
                          <m:rPr>
                            <m:nor/>
                          </m:rPr>
                          <a:rPr lang="pl-PL" sz="16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" panose="02040503050406030204" pitchFamily="18" charset="0"/>
                            <a:ea typeface="Cambria" panose="02040503050406030204" pitchFamily="18" charset="0"/>
                            <a:cs typeface="+mn-cs"/>
                          </a:rPr>
                          <m:t>7427,51</m:t>
                        </m:r>
                        <m:r>
                          <m:rPr>
                            <m:nor/>
                          </m:rPr>
                          <a:rPr lang="pl-PL" sz="1600">
                            <a:latin typeface="Cambria" panose="02040503050406030204" pitchFamily="18" charset="0"/>
                            <a:ea typeface="Cambria" panose="02040503050406030204" pitchFamily="18" charset="0"/>
                          </a:rPr>
                          <m:t> </m:t>
                        </m:r>
                        <m:r>
                          <a:rPr lang="pl-PL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l-PL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6</m:t>
                        </m:r>
                      </m:sub>
                    </m:sSub>
                    <m:sSub>
                      <m:sSubPr>
                        <m:ctrlPr>
                          <a:rPr lang="pl-PL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l-PL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 </m:t>
                        </m:r>
                        <m:r>
                          <m:rPr>
                            <m:nor/>
                          </m:rPr>
                          <a:rPr lang="pl-PL" sz="16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" panose="02040503050406030204" pitchFamily="18" charset="0"/>
                            <a:ea typeface="Cambria" panose="02040503050406030204" pitchFamily="18" charset="0"/>
                            <a:cs typeface="+mn-cs"/>
                          </a:rPr>
                          <m:t>636108,5</m:t>
                        </m:r>
                        <m:r>
                          <m:rPr>
                            <m:nor/>
                          </m:rPr>
                          <a:rPr lang="pl-PL" sz="1600">
                            <a:latin typeface="Cambria" panose="02040503050406030204" pitchFamily="18" charset="0"/>
                            <a:ea typeface="Cambria" panose="02040503050406030204" pitchFamily="18" charset="0"/>
                          </a:rPr>
                          <m:t> </m:t>
                        </m:r>
                        <m:r>
                          <a:rPr lang="pl-PL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l-PL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8</m:t>
                        </m:r>
                      </m:sub>
                    </m:sSub>
                    <m:r>
                      <a:rPr lang="pl-PL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effectLst/>
                        <a:latin typeface="Cambria" panose="02040503050406030204" pitchFamily="18" charset="0"/>
                        <a:ea typeface="Cambria" panose="02040503050406030204" pitchFamily="18" charset="0"/>
                        <a:cs typeface="+mn-cs"/>
                      </a:rPr>
                      <m:t> </m:t>
                    </m:r>
                    <m:r>
                      <m:rPr>
                        <m:nor/>
                      </m:rPr>
                      <a:rPr lang="pl-PL" sz="1600" b="0" i="0" u="none" strike="noStrike">
                        <a:solidFill>
                          <a:schemeClr val="tx1"/>
                        </a:solidFill>
                        <a:effectLst/>
                        <a:latin typeface="Cambria" panose="02040503050406030204" pitchFamily="18" charset="0"/>
                        <a:ea typeface="Cambria" panose="02040503050406030204" pitchFamily="18" charset="0"/>
                        <a:cs typeface="+mn-cs"/>
                      </a:rPr>
                      <m:t>1737,41</m:t>
                    </m:r>
                    <m:r>
                      <m:rPr>
                        <m:nor/>
                      </m:rPr>
                      <a:rPr lang="pl-PL" sz="1600">
                        <a:latin typeface="Cambria" panose="02040503050406030204" pitchFamily="18" charset="0"/>
                        <a:ea typeface="Cambria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pl-PL" sz="1600" i="1">
                        <a:solidFill>
                          <a:schemeClr val="tx1"/>
                        </a:solidFill>
                        <a:effectLst/>
                        <a:latin typeface="Cambria" panose="02040503050406030204" pitchFamily="18" charset="0"/>
                        <a:ea typeface="Cambria" panose="02040503050406030204" pitchFamily="18" charset="0"/>
                        <a:cs typeface="+mn-cs"/>
                      </a:rPr>
                      <m:t>  </m:t>
                    </m:r>
                  </m:oMath>
                </m:oMathPara>
              </a14:m>
              <a:endParaRPr lang="pl-PL" sz="1600">
                <a:latin typeface="Cambria" panose="02040503050406030204" pitchFamily="18" charset="0"/>
                <a:ea typeface="Cambria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360A3F94-00C5-0242-23F1-82CB5ACC978B}"/>
                </a:ext>
              </a:extLst>
            </xdr:cNvPr>
            <xdr:cNvSpPr txBox="1"/>
          </xdr:nvSpPr>
          <xdr:spPr>
            <a:xfrm>
              <a:off x="9465609" y="27439843"/>
              <a:ext cx="7707174" cy="2528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600" b="0" i="0">
                  <a:latin typeface="Cambria Math" panose="02040503050406030204" pitchFamily="18" charset="0"/>
                </a:rPr>
                <a:t>𝑌 ̂= </a:t>
              </a:r>
              <a:r>
                <a:rPr lang="pl-PL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pl-PL" sz="16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pl-PL" sz="1600" b="0" i="0" u="none" strike="noStrike">
                  <a:solidFill>
                    <a:schemeClr val="tx1"/>
                  </a:solidFill>
                  <a:effectLst/>
                  <a:latin typeface="Cambria" panose="02040503050406030204" pitchFamily="18" charset="0"/>
                  <a:ea typeface="Cambria" panose="02040503050406030204" pitchFamily="18" charset="0"/>
                  <a:cs typeface="+mn-cs"/>
                </a:rPr>
                <a:t>8962,186</a:t>
              </a:r>
              <a:r>
                <a:rPr lang="pl-PL" sz="1600" i="0">
                  <a:latin typeface="Cambria" panose="02040503050406030204" pitchFamily="18" charset="0"/>
                  <a:ea typeface="Cambria" panose="02040503050406030204" pitchFamily="18" charset="0"/>
                </a:rPr>
                <a:t> </a:t>
              </a:r>
              <a:r>
                <a:rPr lang="pl-PL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𝑥〗_(1 ) </a:t>
              </a:r>
              <a:r>
                <a:rPr lang="pl-PL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pl-PL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" panose="02040503050406030204" pitchFamily="18" charset="0"/>
                  <a:cs typeface="+mn-cs"/>
                </a:rPr>
                <a:t>− </a:t>
              </a:r>
              <a:r>
                <a:rPr lang="pl-PL" sz="16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" panose="02040503050406030204" pitchFamily="18" charset="0"/>
                  <a:cs typeface="+mn-cs"/>
                </a:rPr>
                <a:t>72498,6</a:t>
              </a:r>
              <a:r>
                <a:rPr lang="pl-PL" sz="1600" i="0">
                  <a:latin typeface="Cambria Math" panose="02040503050406030204" pitchFamily="18" charset="0"/>
                  <a:ea typeface="Cambria" panose="02040503050406030204" pitchFamily="18" charset="0"/>
                </a:rPr>
                <a:t> </a:t>
              </a:r>
              <a:r>
                <a:rPr lang="pl-PL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𝑥_2 〖+ </a:t>
              </a:r>
              <a:r>
                <a:rPr lang="pl-PL" sz="16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pl-PL" sz="1600" b="0" i="0" u="none" strike="noStrike">
                  <a:solidFill>
                    <a:schemeClr val="tx1"/>
                  </a:solidFill>
                  <a:effectLst/>
                  <a:latin typeface="Cambria" panose="02040503050406030204" pitchFamily="18" charset="0"/>
                  <a:ea typeface="Cambria" panose="02040503050406030204" pitchFamily="18" charset="0"/>
                  <a:cs typeface="+mn-cs"/>
                </a:rPr>
                <a:t>49012,13</a:t>
              </a:r>
              <a:r>
                <a:rPr lang="pl-PL" sz="1600" i="0">
                  <a:latin typeface="Cambria" panose="02040503050406030204" pitchFamily="18" charset="0"/>
                  <a:ea typeface="Cambria" panose="02040503050406030204" pitchFamily="18" charset="0"/>
                </a:rPr>
                <a:t> </a:t>
              </a:r>
              <a:r>
                <a:rPr lang="pl-PL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𝑥〗_4 〖</a:t>
              </a:r>
              <a:r>
                <a:rPr lang="pl-PL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pl-PL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pl-PL" sz="16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pl-PL" sz="1600" b="0" i="0" u="none" strike="noStrike">
                  <a:solidFill>
                    <a:schemeClr val="tx1"/>
                  </a:solidFill>
                  <a:effectLst/>
                  <a:latin typeface="Cambria" panose="02040503050406030204" pitchFamily="18" charset="0"/>
                  <a:ea typeface="Cambria" panose="02040503050406030204" pitchFamily="18" charset="0"/>
                  <a:cs typeface="+mn-cs"/>
                </a:rPr>
                <a:t>7427,51</a:t>
              </a:r>
              <a:r>
                <a:rPr lang="pl-PL" sz="1600" i="0">
                  <a:latin typeface="Cambria" panose="02040503050406030204" pitchFamily="18" charset="0"/>
                  <a:ea typeface="Cambria" panose="02040503050406030204" pitchFamily="18" charset="0"/>
                </a:rPr>
                <a:t> </a:t>
              </a:r>
              <a:r>
                <a:rPr lang="pl-PL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𝑥〗_6 〖+ </a:t>
              </a:r>
              <a:r>
                <a:rPr lang="pl-PL" sz="16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pl-PL" sz="1600" b="0" i="0" u="none" strike="noStrike">
                  <a:solidFill>
                    <a:schemeClr val="tx1"/>
                  </a:solidFill>
                  <a:effectLst/>
                  <a:latin typeface="Cambria" panose="02040503050406030204" pitchFamily="18" charset="0"/>
                  <a:ea typeface="Cambria" panose="02040503050406030204" pitchFamily="18" charset="0"/>
                  <a:cs typeface="+mn-cs"/>
                </a:rPr>
                <a:t>636108,5</a:t>
              </a:r>
              <a:r>
                <a:rPr lang="pl-PL" sz="1600" i="0">
                  <a:latin typeface="Cambria" panose="02040503050406030204" pitchFamily="18" charset="0"/>
                  <a:ea typeface="Cambria" panose="02040503050406030204" pitchFamily="18" charset="0"/>
                </a:rPr>
                <a:t> </a:t>
              </a:r>
              <a:r>
                <a:rPr lang="pl-PL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𝑥〗_8</a:t>
              </a:r>
              <a:r>
                <a:rPr lang="pl-PL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−"</a:t>
              </a:r>
              <a:r>
                <a:rPr lang="pl-PL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" panose="02040503050406030204" pitchFamily="18" charset="0"/>
                  <a:cs typeface="+mn-cs"/>
                </a:rPr>
                <a:t> </a:t>
              </a:r>
              <a:r>
                <a:rPr lang="pl-PL" sz="16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" panose="02040503050406030204" pitchFamily="18" charset="0"/>
                  <a:cs typeface="+mn-cs"/>
                </a:rPr>
                <a:t>1737,41</a:t>
              </a:r>
              <a:r>
                <a:rPr lang="pl-PL" sz="1600" i="0">
                  <a:latin typeface="Cambria Math" panose="02040503050406030204" pitchFamily="18" charset="0"/>
                  <a:ea typeface="Cambria" panose="02040503050406030204" pitchFamily="18" charset="0"/>
                </a:rPr>
                <a:t> </a:t>
              </a:r>
              <a:r>
                <a:rPr lang="pl-PL" sz="16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" panose="02040503050406030204" pitchFamily="18" charset="0"/>
                  <a:cs typeface="+mn-cs"/>
                </a:rPr>
                <a:t>  </a:t>
              </a:r>
              <a:r>
                <a:rPr lang="pl-PL" sz="1600" i="0">
                  <a:solidFill>
                    <a:schemeClr val="tx1"/>
                  </a:solidFill>
                  <a:effectLst/>
                  <a:latin typeface="Cambria" panose="02040503050406030204" pitchFamily="18" charset="0"/>
                  <a:ea typeface="Cambria" panose="02040503050406030204" pitchFamily="18" charset="0"/>
                  <a:cs typeface="+mn-cs"/>
                </a:rPr>
                <a:t>"</a:t>
              </a:r>
              <a:endParaRPr lang="pl-PL" sz="1600">
                <a:latin typeface="Cambria" panose="02040503050406030204" pitchFamily="18" charset="0"/>
                <a:ea typeface="Cambria" panose="02040503050406030204" pitchFamily="18" charset="0"/>
              </a:endParaRPr>
            </a:p>
          </xdr:txBody>
        </xdr:sp>
      </mc:Fallback>
    </mc:AlternateContent>
    <xdr:clientData/>
  </xdr:oneCellAnchor>
  <xdr:twoCellAnchor>
    <xdr:from>
      <xdr:col>3</xdr:col>
      <xdr:colOff>554690</xdr:colOff>
      <xdr:row>180</xdr:row>
      <xdr:rowOff>68355</xdr:rowOff>
    </xdr:from>
    <xdr:to>
      <xdr:col>11</xdr:col>
      <xdr:colOff>173690</xdr:colOff>
      <xdr:row>194</xdr:row>
      <xdr:rowOff>122143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27C9E89E-7240-9ECE-D11D-528A6748B7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644337</xdr:colOff>
      <xdr:row>180</xdr:row>
      <xdr:rowOff>169209</xdr:rowOff>
    </xdr:from>
    <xdr:to>
      <xdr:col>22</xdr:col>
      <xdr:colOff>554690</xdr:colOff>
      <xdr:row>194</xdr:row>
      <xdr:rowOff>189379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58C99CCC-E4B9-07AD-9611-1246ED2E2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717175</xdr:colOff>
      <xdr:row>285</xdr:row>
      <xdr:rowOff>190501</xdr:rowOff>
    </xdr:from>
    <xdr:to>
      <xdr:col>23</xdr:col>
      <xdr:colOff>36161</xdr:colOff>
      <xdr:row>293</xdr:row>
      <xdr:rowOff>1</xdr:rowOff>
    </xdr:to>
    <xdr:pic>
      <xdr:nvPicPr>
        <xdr:cNvPr id="12" name="Obraz 11">
          <a:extLst>
            <a:ext uri="{FF2B5EF4-FFF2-40B4-BE49-F238E27FC236}">
              <a16:creationId xmlns:a16="http://schemas.microsoft.com/office/drawing/2014/main" id="{027E1CE4-2EB1-1C62-A670-36F2CEBAC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27440" y="70003148"/>
          <a:ext cx="7510486" cy="1355912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13</xdr:col>
      <xdr:colOff>11208</xdr:colOff>
      <xdr:row>294</xdr:row>
      <xdr:rowOff>0</xdr:rowOff>
    </xdr:from>
    <xdr:to>
      <xdr:col>22</xdr:col>
      <xdr:colOff>507626</xdr:colOff>
      <xdr:row>312</xdr:row>
      <xdr:rowOff>44823</xdr:rowOff>
    </xdr:to>
    <xdr:pic>
      <xdr:nvPicPr>
        <xdr:cNvPr id="14" name="Obraz 13">
          <a:extLst>
            <a:ext uri="{FF2B5EF4-FFF2-40B4-BE49-F238E27FC236}">
              <a16:creationId xmlns:a16="http://schemas.microsoft.com/office/drawing/2014/main" id="{BF08BF7E-F381-2334-03DA-F6728DD9B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00649" y="71549559"/>
          <a:ext cx="6760506" cy="358588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352</xdr:row>
      <xdr:rowOff>0</xdr:rowOff>
    </xdr:from>
    <xdr:to>
      <xdr:col>21</xdr:col>
      <xdr:colOff>103595</xdr:colOff>
      <xdr:row>366</xdr:row>
      <xdr:rowOff>45774</xdr:rowOff>
    </xdr:to>
    <xdr:pic>
      <xdr:nvPicPr>
        <xdr:cNvPr id="26" name="Obraz 25">
          <a:extLst>
            <a:ext uri="{FF2B5EF4-FFF2-40B4-BE49-F238E27FC236}">
              <a16:creationId xmlns:a16="http://schemas.microsoft.com/office/drawing/2014/main" id="{CA82BF45-906B-3B3F-7E2B-888BC45A2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52529" y="83181265"/>
          <a:ext cx="7611537" cy="2791215"/>
        </a:xfrm>
        <a:prstGeom prst="rect">
          <a:avLst/>
        </a:prstGeom>
      </xdr:spPr>
    </xdr:pic>
    <xdr:clientData/>
  </xdr:twoCellAnchor>
  <xdr:twoCellAnchor editAs="oneCell">
    <xdr:from>
      <xdr:col>1</xdr:col>
      <xdr:colOff>44823</xdr:colOff>
      <xdr:row>369</xdr:row>
      <xdr:rowOff>44824</xdr:rowOff>
    </xdr:from>
    <xdr:to>
      <xdr:col>13</xdr:col>
      <xdr:colOff>823766</xdr:colOff>
      <xdr:row>378</xdr:row>
      <xdr:rowOff>149853</xdr:rowOff>
    </xdr:to>
    <xdr:pic>
      <xdr:nvPicPr>
        <xdr:cNvPr id="27" name="Obraz 26">
          <a:extLst>
            <a:ext uri="{FF2B5EF4-FFF2-40B4-BE49-F238E27FC236}">
              <a16:creationId xmlns:a16="http://schemas.microsoft.com/office/drawing/2014/main" id="{58B5FC81-A885-CB7F-3E20-CBB094693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66882" y="86554236"/>
          <a:ext cx="8992855" cy="1819529"/>
        </a:xfrm>
        <a:prstGeom prst="rect">
          <a:avLst/>
        </a:prstGeom>
      </xdr:spPr>
    </xdr:pic>
    <xdr:clientData/>
  </xdr:twoCellAnchor>
  <xdr:twoCellAnchor>
    <xdr:from>
      <xdr:col>10</xdr:col>
      <xdr:colOff>131108</xdr:colOff>
      <xdr:row>159</xdr:row>
      <xdr:rowOff>89646</xdr:rowOff>
    </xdr:from>
    <xdr:to>
      <xdr:col>16</xdr:col>
      <xdr:colOff>131108</xdr:colOff>
      <xdr:row>169</xdr:row>
      <xdr:rowOff>139514</xdr:rowOff>
    </xdr:to>
    <xdr:graphicFrame macro="">
      <xdr:nvGraphicFramePr>
        <xdr:cNvPr id="28" name="Wykres 27">
          <a:extLst>
            <a:ext uri="{FF2B5EF4-FFF2-40B4-BE49-F238E27FC236}">
              <a16:creationId xmlns:a16="http://schemas.microsoft.com/office/drawing/2014/main" id="{922525B9-F675-C38B-3DFD-2C4D8BB809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153520</xdr:colOff>
      <xdr:row>159</xdr:row>
      <xdr:rowOff>93008</xdr:rowOff>
    </xdr:from>
    <xdr:to>
      <xdr:col>22</xdr:col>
      <xdr:colOff>422462</xdr:colOff>
      <xdr:row>169</xdr:row>
      <xdr:rowOff>134471</xdr:rowOff>
    </xdr:to>
    <xdr:graphicFrame macro="">
      <xdr:nvGraphicFramePr>
        <xdr:cNvPr id="29" name="Wykres 28">
          <a:extLst>
            <a:ext uri="{FF2B5EF4-FFF2-40B4-BE49-F238E27FC236}">
              <a16:creationId xmlns:a16="http://schemas.microsoft.com/office/drawing/2014/main" id="{EE3D18FF-7283-05AC-8194-C297F881B9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444871</xdr:colOff>
      <xdr:row>164</xdr:row>
      <xdr:rowOff>115421</xdr:rowOff>
    </xdr:from>
    <xdr:to>
      <xdr:col>29</xdr:col>
      <xdr:colOff>470645</xdr:colOff>
      <xdr:row>174</xdr:row>
      <xdr:rowOff>168089</xdr:rowOff>
    </xdr:to>
    <xdr:graphicFrame macro="">
      <xdr:nvGraphicFramePr>
        <xdr:cNvPr id="30" name="Wykres 29">
          <a:extLst>
            <a:ext uri="{FF2B5EF4-FFF2-40B4-BE49-F238E27FC236}">
              <a16:creationId xmlns:a16="http://schemas.microsoft.com/office/drawing/2014/main" id="{F0FEF26F-10DE-7E4A-139E-4F2310D836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123265</xdr:colOff>
      <xdr:row>169</xdr:row>
      <xdr:rowOff>158564</xdr:rowOff>
    </xdr:from>
    <xdr:to>
      <xdr:col>16</xdr:col>
      <xdr:colOff>134469</xdr:colOff>
      <xdr:row>180</xdr:row>
      <xdr:rowOff>0</xdr:rowOff>
    </xdr:to>
    <xdr:graphicFrame macro="">
      <xdr:nvGraphicFramePr>
        <xdr:cNvPr id="31" name="Wykres 30">
          <a:extLst>
            <a:ext uri="{FF2B5EF4-FFF2-40B4-BE49-F238E27FC236}">
              <a16:creationId xmlns:a16="http://schemas.microsoft.com/office/drawing/2014/main" id="{F2D336E1-C4F4-6D24-2279-FC6B8B03E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153520</xdr:colOff>
      <xdr:row>169</xdr:row>
      <xdr:rowOff>161929</xdr:rowOff>
    </xdr:from>
    <xdr:to>
      <xdr:col>22</xdr:col>
      <xdr:colOff>425823</xdr:colOff>
      <xdr:row>180</xdr:row>
      <xdr:rowOff>1</xdr:rowOff>
    </xdr:to>
    <xdr:graphicFrame macro="">
      <xdr:nvGraphicFramePr>
        <xdr:cNvPr id="32" name="Wykres 31">
          <a:extLst>
            <a:ext uri="{FF2B5EF4-FFF2-40B4-BE49-F238E27FC236}">
              <a16:creationId xmlns:a16="http://schemas.microsoft.com/office/drawing/2014/main" id="{4690E188-D366-2D39-D536-6FC7384D0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FA99F63-222D-49CB-B6F1-895EC0805C31}">
  <we:reference id="1e10eb66-9ba2-46e3-84ee-57e2a49831f0" version="3.0.0.1" store="EXCatalog" storeType="EXCatalog"/>
  <we:alternateReferences>
    <we:reference id="WA104100404" version="3.0.0.1" store="pl-PL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opLeftCell="B1" workbookViewId="0">
      <selection activeCell="B5" sqref="B5"/>
    </sheetView>
  </sheetViews>
  <sheetFormatPr defaultRowHeight="15" x14ac:dyDescent="0.25"/>
  <cols>
    <col min="1" max="1" width="20" customWidth="1"/>
    <col min="2" max="2" width="200" customWidth="1"/>
  </cols>
  <sheetData>
    <row r="1" spans="1:2" x14ac:dyDescent="0.25">
      <c r="A1" t="s">
        <v>0</v>
      </c>
      <c r="B1" t="s">
        <v>1</v>
      </c>
    </row>
    <row r="2" spans="1:2" ht="50.1" customHeight="1" x14ac:dyDescent="0.25">
      <c r="B2" s="3" t="s">
        <v>2</v>
      </c>
    </row>
    <row r="3" spans="1:2" x14ac:dyDescent="0.25">
      <c r="A3" t="s">
        <v>3</v>
      </c>
      <c r="B3" s="19" t="s">
        <v>4</v>
      </c>
    </row>
    <row r="4" spans="1:2" x14ac:dyDescent="0.25"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B6" t="s">
        <v>5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ht="50.1" customHeight="1" x14ac:dyDescent="0.25">
      <c r="A9" s="2" t="s">
        <v>12</v>
      </c>
      <c r="B9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82"/>
  <sheetViews>
    <sheetView tabSelected="1" topLeftCell="A339" zoomScale="85" zoomScaleNormal="85" workbookViewId="0">
      <selection activeCell="X184" sqref="X184"/>
    </sheetView>
  </sheetViews>
  <sheetFormatPr defaultRowHeight="15" x14ac:dyDescent="0.25"/>
  <cols>
    <col min="1" max="1" width="58.85546875" customWidth="1"/>
    <col min="3" max="3" width="10.7109375" bestFit="1" customWidth="1"/>
    <col min="4" max="4" width="12.28515625" bestFit="1" customWidth="1"/>
    <col min="5" max="5" width="10.5703125" customWidth="1"/>
    <col min="7" max="7" width="11.28515625" customWidth="1"/>
    <col min="9" max="9" width="11.42578125" customWidth="1"/>
    <col min="10" max="10" width="9.85546875" customWidth="1"/>
    <col min="11" max="11" width="9.85546875" bestFit="1" customWidth="1"/>
    <col min="12" max="12" width="10.7109375" bestFit="1" customWidth="1"/>
    <col min="14" max="14" width="12.5703125" customWidth="1"/>
    <col min="15" max="15" width="9.140625" customWidth="1"/>
    <col min="16" max="16" width="11.28515625" customWidth="1"/>
    <col min="17" max="17" width="12.28515625" bestFit="1" customWidth="1"/>
    <col min="21" max="21" width="10.42578125" customWidth="1"/>
    <col min="22" max="22" width="11.140625" customWidth="1"/>
  </cols>
  <sheetData>
    <row r="1" spans="1:16" x14ac:dyDescent="0.25">
      <c r="A1" s="186" t="s">
        <v>37</v>
      </c>
      <c r="B1" s="186" t="s">
        <v>39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</row>
    <row r="2" spans="1:16" x14ac:dyDescent="0.25">
      <c r="A2" s="186"/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</row>
    <row r="3" spans="1:16" x14ac:dyDescent="0.25">
      <c r="A3" s="187"/>
      <c r="B3" s="5" t="s">
        <v>35</v>
      </c>
      <c r="C3" s="5" t="s">
        <v>35</v>
      </c>
      <c r="D3" s="5" t="s">
        <v>35</v>
      </c>
      <c r="E3" s="5" t="s">
        <v>35</v>
      </c>
      <c r="F3" s="5" t="s">
        <v>35</v>
      </c>
      <c r="G3" s="5" t="s">
        <v>35</v>
      </c>
      <c r="H3" s="5" t="s">
        <v>35</v>
      </c>
      <c r="I3" s="5" t="s">
        <v>35</v>
      </c>
      <c r="J3" s="5" t="s">
        <v>35</v>
      </c>
      <c r="K3" s="5" t="s">
        <v>35</v>
      </c>
      <c r="L3" s="5" t="s">
        <v>35</v>
      </c>
      <c r="M3" s="5" t="s">
        <v>35</v>
      </c>
      <c r="O3" s="49"/>
      <c r="P3" s="50"/>
    </row>
    <row r="4" spans="1:16" x14ac:dyDescent="0.25">
      <c r="A4" s="14" t="s">
        <v>38</v>
      </c>
      <c r="B4" s="15">
        <v>102.6</v>
      </c>
      <c r="C4" s="16">
        <v>104.3</v>
      </c>
      <c r="D4" s="16">
        <v>103.7</v>
      </c>
      <c r="E4" s="16">
        <v>100.9</v>
      </c>
      <c r="F4" s="16">
        <v>100</v>
      </c>
      <c r="G4" s="16">
        <v>99.1</v>
      </c>
      <c r="H4" s="16">
        <v>99.4</v>
      </c>
      <c r="I4" s="16">
        <v>102</v>
      </c>
      <c r="J4" s="16">
        <v>101.6</v>
      </c>
      <c r="K4" s="16">
        <v>102.3</v>
      </c>
      <c r="L4" s="16">
        <v>103.4</v>
      </c>
      <c r="M4" s="17">
        <v>105.1</v>
      </c>
      <c r="O4" s="51"/>
      <c r="P4" s="52"/>
    </row>
    <row r="5" spans="1:16" x14ac:dyDescent="0.25">
      <c r="A5" s="4" t="s">
        <v>14</v>
      </c>
      <c r="B5" s="6">
        <v>3.86</v>
      </c>
      <c r="C5" s="7">
        <v>4.32</v>
      </c>
      <c r="D5" s="7">
        <v>5.8</v>
      </c>
      <c r="E5" s="7">
        <v>5.72</v>
      </c>
      <c r="F5" s="7">
        <v>5.17</v>
      </c>
      <c r="G5" s="7">
        <v>4.45</v>
      </c>
      <c r="H5" s="7">
        <v>4.3600000000000003</v>
      </c>
      <c r="I5" s="7">
        <v>4.46</v>
      </c>
      <c r="J5" s="7">
        <v>4.5</v>
      </c>
      <c r="K5" s="7">
        <v>5.17</v>
      </c>
      <c r="L5" s="7">
        <v>6.17</v>
      </c>
      <c r="M5" s="8">
        <v>6.02</v>
      </c>
      <c r="O5" s="18"/>
      <c r="P5" s="18"/>
    </row>
    <row r="6" spans="1:16" x14ac:dyDescent="0.25">
      <c r="A6" s="4" t="s">
        <v>15</v>
      </c>
      <c r="B6" s="6">
        <v>4.5599999999999996</v>
      </c>
      <c r="C6" s="7">
        <v>5.18</v>
      </c>
      <c r="D6" s="7">
        <v>6.5</v>
      </c>
      <c r="E6" s="7">
        <v>6.35</v>
      </c>
      <c r="F6" s="7">
        <v>6.15</v>
      </c>
      <c r="G6" s="7">
        <v>5.72</v>
      </c>
      <c r="H6" s="7">
        <v>5.58</v>
      </c>
      <c r="I6" s="7">
        <v>6</v>
      </c>
      <c r="J6" s="7">
        <v>6.11</v>
      </c>
      <c r="K6" s="7">
        <v>6.56</v>
      </c>
      <c r="L6" s="7">
        <v>7.78</v>
      </c>
      <c r="M6" s="8">
        <v>7.6</v>
      </c>
      <c r="O6" s="18"/>
      <c r="P6" s="18"/>
    </row>
    <row r="7" spans="1:16" x14ac:dyDescent="0.25">
      <c r="A7" s="4" t="s">
        <v>16</v>
      </c>
      <c r="B7" s="6">
        <v>4.2300000000000004</v>
      </c>
      <c r="C7" s="7">
        <v>5.29</v>
      </c>
      <c r="D7" s="7">
        <v>5.5</v>
      </c>
      <c r="E7" s="7">
        <v>5.21</v>
      </c>
      <c r="F7" s="7">
        <v>5.24</v>
      </c>
      <c r="G7" s="7">
        <v>5.46</v>
      </c>
      <c r="H7" s="7">
        <v>4.84</v>
      </c>
      <c r="I7" s="7">
        <v>4.97</v>
      </c>
      <c r="J7" s="7">
        <v>4.5</v>
      </c>
      <c r="K7" s="7">
        <v>4.43</v>
      </c>
      <c r="L7" s="7">
        <v>4.66</v>
      </c>
      <c r="M7" s="8">
        <v>5.49</v>
      </c>
      <c r="O7" s="18"/>
      <c r="P7" s="18"/>
    </row>
    <row r="8" spans="1:16" x14ac:dyDescent="0.25">
      <c r="A8" s="4" t="s">
        <v>17</v>
      </c>
      <c r="B8" s="6">
        <v>15.05</v>
      </c>
      <c r="C8" s="7">
        <v>16.91</v>
      </c>
      <c r="D8" s="7">
        <v>15.95</v>
      </c>
      <c r="E8" s="7">
        <v>17.23</v>
      </c>
      <c r="F8" s="7">
        <v>17.05</v>
      </c>
      <c r="G8" s="7">
        <v>15.15</v>
      </c>
      <c r="H8" s="7">
        <v>16.190000000000001</v>
      </c>
      <c r="I8" s="7">
        <v>22.85</v>
      </c>
      <c r="J8" s="7">
        <v>23.89</v>
      </c>
      <c r="K8" s="7">
        <v>21</v>
      </c>
      <c r="L8" s="7">
        <v>19.170000000000002</v>
      </c>
      <c r="M8" s="8">
        <v>22.2</v>
      </c>
      <c r="O8" s="18"/>
      <c r="P8" s="18"/>
    </row>
    <row r="9" spans="1:16" x14ac:dyDescent="0.25">
      <c r="A9" s="4" t="s">
        <v>18</v>
      </c>
      <c r="B9" s="9">
        <v>1.67</v>
      </c>
      <c r="C9" s="7">
        <v>1.67</v>
      </c>
      <c r="D9" s="7">
        <v>1.68</v>
      </c>
      <c r="E9" s="7">
        <v>1.7</v>
      </c>
      <c r="F9" s="7">
        <v>1.81</v>
      </c>
      <c r="G9" s="7">
        <v>1.74</v>
      </c>
      <c r="H9" s="7">
        <v>1.66</v>
      </c>
      <c r="I9" s="7">
        <v>1.71</v>
      </c>
      <c r="J9" s="7">
        <v>1.75</v>
      </c>
      <c r="K9" s="7">
        <v>1.78</v>
      </c>
      <c r="L9" s="7">
        <v>1.85</v>
      </c>
      <c r="M9" s="8">
        <v>1.96</v>
      </c>
      <c r="O9" s="18"/>
      <c r="P9" s="18"/>
    </row>
    <row r="10" spans="1:16" x14ac:dyDescent="0.25">
      <c r="A10" s="47" t="s">
        <v>36</v>
      </c>
      <c r="B10" s="6">
        <v>0.27</v>
      </c>
      <c r="C10">
        <v>0.26</v>
      </c>
      <c r="D10">
        <v>0.41</v>
      </c>
      <c r="E10">
        <v>0.32</v>
      </c>
      <c r="F10">
        <v>0.28999999999999998</v>
      </c>
      <c r="G10">
        <v>0.3</v>
      </c>
      <c r="H10">
        <v>0.26</v>
      </c>
      <c r="I10">
        <v>0.35</v>
      </c>
      <c r="J10">
        <v>0.32</v>
      </c>
      <c r="K10">
        <v>0.3</v>
      </c>
      <c r="L10">
        <v>0.32</v>
      </c>
      <c r="M10" s="10">
        <v>0.37</v>
      </c>
      <c r="O10" s="18"/>
      <c r="P10" s="18"/>
    </row>
    <row r="11" spans="1:16" x14ac:dyDescent="0.25">
      <c r="A11" s="4" t="s">
        <v>19</v>
      </c>
      <c r="B11" s="6">
        <v>1.8</v>
      </c>
      <c r="C11" s="7">
        <v>1.98</v>
      </c>
      <c r="D11" s="7">
        <v>2.04</v>
      </c>
      <c r="E11" s="7">
        <v>2.13</v>
      </c>
      <c r="F11" s="7">
        <v>2.15</v>
      </c>
      <c r="G11" s="7">
        <v>1.89</v>
      </c>
      <c r="H11" s="7">
        <v>1.85</v>
      </c>
      <c r="I11" s="7">
        <v>2.0499999999999998</v>
      </c>
      <c r="J11" s="7">
        <v>2.0499999999999998</v>
      </c>
      <c r="K11" s="7">
        <v>2.0699999999999998</v>
      </c>
      <c r="L11" s="7">
        <v>2.25</v>
      </c>
      <c r="M11" s="8">
        <v>2.4300000000000002</v>
      </c>
      <c r="O11" s="18"/>
      <c r="P11" s="18"/>
    </row>
    <row r="12" spans="1:16" x14ac:dyDescent="0.25">
      <c r="A12" s="47" t="s">
        <v>20</v>
      </c>
      <c r="B12" s="6">
        <v>5.47</v>
      </c>
      <c r="C12" s="7">
        <v>5.56</v>
      </c>
      <c r="D12" s="7">
        <v>5.59</v>
      </c>
      <c r="E12" s="7">
        <v>5.7</v>
      </c>
      <c r="F12" s="7">
        <v>5.75</v>
      </c>
      <c r="G12" s="7">
        <v>5.57</v>
      </c>
      <c r="H12" s="7">
        <v>5.52</v>
      </c>
      <c r="I12" s="7">
        <v>6.09</v>
      </c>
      <c r="J12" s="7">
        <v>6.64</v>
      </c>
      <c r="K12" s="7">
        <v>6.86</v>
      </c>
      <c r="L12" s="7">
        <v>7.04</v>
      </c>
      <c r="M12" s="8">
        <v>7.47</v>
      </c>
      <c r="O12" s="18"/>
      <c r="P12" s="18"/>
    </row>
    <row r="13" spans="1:16" x14ac:dyDescent="0.25">
      <c r="A13" s="47" t="s">
        <v>21</v>
      </c>
      <c r="B13" s="6">
        <v>8.66</v>
      </c>
      <c r="C13" s="7">
        <v>8.9700000000000006</v>
      </c>
      <c r="D13" s="7">
        <v>9.1</v>
      </c>
      <c r="E13" s="7">
        <v>9.23</v>
      </c>
      <c r="F13" s="7">
        <v>9.58</v>
      </c>
      <c r="G13" s="7">
        <v>9.2200000000000006</v>
      </c>
      <c r="H13" s="7">
        <v>9.01</v>
      </c>
      <c r="I13" s="7">
        <v>9.16</v>
      </c>
      <c r="J13" s="7">
        <v>9.2200000000000006</v>
      </c>
      <c r="K13" s="7">
        <v>9.27</v>
      </c>
      <c r="L13" s="7">
        <v>9.49</v>
      </c>
      <c r="M13" s="8">
        <v>9.8699999999999992</v>
      </c>
      <c r="O13" s="18"/>
      <c r="P13" s="18"/>
    </row>
    <row r="14" spans="1:16" x14ac:dyDescent="0.25">
      <c r="A14" s="47" t="s">
        <v>22</v>
      </c>
      <c r="B14" s="11">
        <v>12.84</v>
      </c>
      <c r="C14" s="12">
        <v>14.01</v>
      </c>
      <c r="D14" s="12">
        <v>14.19</v>
      </c>
      <c r="E14" s="12">
        <v>15.71</v>
      </c>
      <c r="F14" s="12">
        <v>14.8</v>
      </c>
      <c r="G14" s="12">
        <v>12</v>
      </c>
      <c r="H14" s="12">
        <v>12.52</v>
      </c>
      <c r="I14" s="12">
        <v>14.86</v>
      </c>
      <c r="J14" s="12">
        <v>13.8</v>
      </c>
      <c r="K14" s="12">
        <v>14.49</v>
      </c>
      <c r="L14" s="12">
        <v>15.05</v>
      </c>
      <c r="M14" s="13">
        <v>16.59</v>
      </c>
      <c r="O14" s="18"/>
      <c r="P14" s="18"/>
    </row>
    <row r="15" spans="1:16" ht="15.75" thickBot="1" x14ac:dyDescent="0.3"/>
    <row r="16" spans="1:16" ht="16.5" customHeight="1" thickBot="1" x14ac:dyDescent="0.3">
      <c r="B16" s="192" t="s">
        <v>139</v>
      </c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4"/>
    </row>
    <row r="17" spans="2:27" ht="15.75" thickBot="1" x14ac:dyDescent="0.3"/>
    <row r="18" spans="2:27" ht="15.75" thickBot="1" x14ac:dyDescent="0.3">
      <c r="B18" s="180"/>
      <c r="C18" s="86" t="s">
        <v>41</v>
      </c>
      <c r="D18" s="113" t="s">
        <v>42</v>
      </c>
      <c r="E18" s="113" t="s">
        <v>43</v>
      </c>
      <c r="F18" s="113" t="s">
        <v>124</v>
      </c>
      <c r="G18" s="113" t="s">
        <v>44</v>
      </c>
      <c r="H18" s="113" t="s">
        <v>125</v>
      </c>
      <c r="I18" s="113" t="s">
        <v>45</v>
      </c>
      <c r="J18" s="113" t="s">
        <v>126</v>
      </c>
      <c r="K18" s="113" t="s">
        <v>46</v>
      </c>
      <c r="L18" s="113" t="s">
        <v>127</v>
      </c>
      <c r="M18" s="114" t="s">
        <v>128</v>
      </c>
    </row>
    <row r="19" spans="2:27" x14ac:dyDescent="0.25">
      <c r="B19" s="181" t="s">
        <v>23</v>
      </c>
      <c r="C19" s="112">
        <v>102.6</v>
      </c>
      <c r="D19" s="94">
        <v>3.86</v>
      </c>
      <c r="E19" s="94">
        <v>4.5599999999999996</v>
      </c>
      <c r="F19" s="94">
        <v>4.2300000000000004</v>
      </c>
      <c r="G19" s="94">
        <v>15.05</v>
      </c>
      <c r="H19" s="92">
        <v>1.67</v>
      </c>
      <c r="I19" s="94">
        <v>0.27</v>
      </c>
      <c r="J19" s="94">
        <v>1.8</v>
      </c>
      <c r="K19" s="94">
        <v>5.47</v>
      </c>
      <c r="L19" s="94">
        <v>8.66</v>
      </c>
      <c r="M19" s="170">
        <v>12.84</v>
      </c>
    </row>
    <row r="20" spans="2:27" x14ac:dyDescent="0.25">
      <c r="B20" s="181" t="s">
        <v>24</v>
      </c>
      <c r="C20" s="48">
        <v>104.3</v>
      </c>
      <c r="D20" s="46">
        <v>4.32</v>
      </c>
      <c r="E20" s="46">
        <v>5.18</v>
      </c>
      <c r="F20" s="46">
        <v>5.29</v>
      </c>
      <c r="G20" s="46">
        <v>16.91</v>
      </c>
      <c r="H20" s="46">
        <v>1.67</v>
      </c>
      <c r="I20" s="4">
        <v>0.26</v>
      </c>
      <c r="J20" s="46">
        <v>1.98</v>
      </c>
      <c r="K20" s="46">
        <v>5.56</v>
      </c>
      <c r="L20" s="46">
        <v>8.9700000000000006</v>
      </c>
      <c r="M20" s="171">
        <v>14.01</v>
      </c>
    </row>
    <row r="21" spans="2:27" x14ac:dyDescent="0.25">
      <c r="B21" s="181" t="s">
        <v>25</v>
      </c>
      <c r="C21" s="48">
        <v>103.7</v>
      </c>
      <c r="D21" s="46">
        <v>5.8</v>
      </c>
      <c r="E21" s="46">
        <v>6.5</v>
      </c>
      <c r="F21" s="46">
        <v>5.5</v>
      </c>
      <c r="G21" s="46">
        <v>15.95</v>
      </c>
      <c r="H21" s="46">
        <v>1.68</v>
      </c>
      <c r="I21" s="4">
        <v>0.41</v>
      </c>
      <c r="J21" s="46">
        <v>2.04</v>
      </c>
      <c r="K21" s="46">
        <v>5.59</v>
      </c>
      <c r="L21" s="46">
        <v>9.1</v>
      </c>
      <c r="M21" s="171">
        <v>14.19</v>
      </c>
    </row>
    <row r="22" spans="2:27" x14ac:dyDescent="0.25">
      <c r="B22" s="181" t="s">
        <v>26</v>
      </c>
      <c r="C22" s="48">
        <v>100.9</v>
      </c>
      <c r="D22" s="46">
        <v>5.72</v>
      </c>
      <c r="E22" s="46">
        <v>6.35</v>
      </c>
      <c r="F22" s="46">
        <v>5.21</v>
      </c>
      <c r="G22" s="46">
        <v>17.23</v>
      </c>
      <c r="H22" s="46">
        <v>1.7</v>
      </c>
      <c r="I22" s="4">
        <v>0.32</v>
      </c>
      <c r="J22" s="46">
        <v>2.13</v>
      </c>
      <c r="K22" s="46">
        <v>5.7</v>
      </c>
      <c r="L22" s="46">
        <v>9.23</v>
      </c>
      <c r="M22" s="171">
        <v>15.71</v>
      </c>
    </row>
    <row r="23" spans="2:27" x14ac:dyDescent="0.25">
      <c r="B23" s="181" t="s">
        <v>27</v>
      </c>
      <c r="C23" s="48">
        <v>100</v>
      </c>
      <c r="D23" s="46">
        <v>5.17</v>
      </c>
      <c r="E23" s="46">
        <v>6.15</v>
      </c>
      <c r="F23" s="46">
        <v>5.24</v>
      </c>
      <c r="G23" s="46">
        <v>17.05</v>
      </c>
      <c r="H23" s="46">
        <v>1.81</v>
      </c>
      <c r="I23" s="4">
        <v>0.28999999999999998</v>
      </c>
      <c r="J23" s="46">
        <v>2.15</v>
      </c>
      <c r="K23" s="46">
        <v>5.75</v>
      </c>
      <c r="L23" s="46">
        <v>9.58</v>
      </c>
      <c r="M23" s="171">
        <v>14.8</v>
      </c>
    </row>
    <row r="24" spans="2:27" x14ac:dyDescent="0.25">
      <c r="B24" s="181" t="s">
        <v>28</v>
      </c>
      <c r="C24" s="48">
        <v>99.1</v>
      </c>
      <c r="D24" s="46">
        <v>4.45</v>
      </c>
      <c r="E24" s="46">
        <v>5.72</v>
      </c>
      <c r="F24" s="46">
        <v>5.46</v>
      </c>
      <c r="G24" s="46">
        <v>15.15</v>
      </c>
      <c r="H24" s="46">
        <v>1.74</v>
      </c>
      <c r="I24" s="4">
        <v>0.3</v>
      </c>
      <c r="J24" s="46">
        <v>1.89</v>
      </c>
      <c r="K24" s="46">
        <v>5.57</v>
      </c>
      <c r="L24" s="46">
        <v>9.2200000000000006</v>
      </c>
      <c r="M24" s="171">
        <v>12</v>
      </c>
    </row>
    <row r="25" spans="2:27" x14ac:dyDescent="0.25">
      <c r="B25" s="181" t="s">
        <v>29</v>
      </c>
      <c r="C25" s="48">
        <v>99.4</v>
      </c>
      <c r="D25" s="46">
        <v>4.3600000000000003</v>
      </c>
      <c r="E25" s="46">
        <v>5.58</v>
      </c>
      <c r="F25" s="46">
        <v>4.84</v>
      </c>
      <c r="G25" s="46">
        <v>16.190000000000001</v>
      </c>
      <c r="H25" s="46">
        <v>1.66</v>
      </c>
      <c r="I25" s="4">
        <v>0.26</v>
      </c>
      <c r="J25" s="46">
        <v>1.85</v>
      </c>
      <c r="K25" s="46">
        <v>5.52</v>
      </c>
      <c r="L25" s="46">
        <v>9.01</v>
      </c>
      <c r="M25" s="171">
        <v>12.52</v>
      </c>
    </row>
    <row r="26" spans="2:27" x14ac:dyDescent="0.25">
      <c r="B26" s="181" t="s">
        <v>30</v>
      </c>
      <c r="C26" s="48">
        <v>102</v>
      </c>
      <c r="D26" s="46">
        <v>4.46</v>
      </c>
      <c r="E26" s="46">
        <v>6</v>
      </c>
      <c r="F26" s="46">
        <v>4.97</v>
      </c>
      <c r="G26" s="46">
        <v>22.85</v>
      </c>
      <c r="H26" s="46">
        <v>1.71</v>
      </c>
      <c r="I26" s="4">
        <v>0.35</v>
      </c>
      <c r="J26" s="46">
        <v>2.0499999999999998</v>
      </c>
      <c r="K26" s="46">
        <v>6.09</v>
      </c>
      <c r="L26" s="46">
        <v>9.16</v>
      </c>
      <c r="M26" s="171">
        <v>14.86</v>
      </c>
    </row>
    <row r="27" spans="2:27" x14ac:dyDescent="0.25">
      <c r="B27" s="181" t="s">
        <v>31</v>
      </c>
      <c r="C27" s="48">
        <v>101.6</v>
      </c>
      <c r="D27" s="46">
        <v>4.5</v>
      </c>
      <c r="E27" s="46">
        <v>6.11</v>
      </c>
      <c r="F27" s="46">
        <v>4.5</v>
      </c>
      <c r="G27" s="46">
        <v>23.89</v>
      </c>
      <c r="H27" s="46">
        <v>1.75</v>
      </c>
      <c r="I27" s="4">
        <v>0.32</v>
      </c>
      <c r="J27" s="46">
        <v>2.0499999999999998</v>
      </c>
      <c r="K27" s="46">
        <v>6.64</v>
      </c>
      <c r="L27" s="46">
        <v>9.2200000000000006</v>
      </c>
      <c r="M27" s="171">
        <v>13.8</v>
      </c>
    </row>
    <row r="28" spans="2:27" x14ac:dyDescent="0.25">
      <c r="B28" s="181" t="s">
        <v>32</v>
      </c>
      <c r="C28" s="48">
        <v>102.3</v>
      </c>
      <c r="D28" s="46">
        <v>5.17</v>
      </c>
      <c r="E28" s="46">
        <v>6.56</v>
      </c>
      <c r="F28" s="46">
        <v>4.43</v>
      </c>
      <c r="G28" s="46">
        <v>21</v>
      </c>
      <c r="H28" s="46">
        <v>1.78</v>
      </c>
      <c r="I28" s="4">
        <v>0.3</v>
      </c>
      <c r="J28" s="46">
        <v>2.0699999999999998</v>
      </c>
      <c r="K28" s="46">
        <v>6.86</v>
      </c>
      <c r="L28" s="46">
        <v>9.27</v>
      </c>
      <c r="M28" s="171">
        <v>14.49</v>
      </c>
    </row>
    <row r="29" spans="2:27" x14ac:dyDescent="0.25">
      <c r="B29" s="181" t="s">
        <v>33</v>
      </c>
      <c r="C29" s="48">
        <v>103.4</v>
      </c>
      <c r="D29" s="46">
        <v>6.17</v>
      </c>
      <c r="E29" s="46">
        <v>7.78</v>
      </c>
      <c r="F29" s="46">
        <v>4.66</v>
      </c>
      <c r="G29" s="46">
        <v>19.170000000000002</v>
      </c>
      <c r="H29" s="46">
        <v>1.85</v>
      </c>
      <c r="I29" s="4">
        <v>0.32</v>
      </c>
      <c r="J29" s="46">
        <v>2.25</v>
      </c>
      <c r="K29" s="46">
        <v>7.04</v>
      </c>
      <c r="L29" s="46">
        <v>9.49</v>
      </c>
      <c r="M29" s="171">
        <v>15.05</v>
      </c>
    </row>
    <row r="30" spans="2:27" ht="15.75" thickBot="1" x14ac:dyDescent="0.3">
      <c r="B30" s="182" t="s">
        <v>34</v>
      </c>
      <c r="C30" s="115">
        <v>105.1</v>
      </c>
      <c r="D30" s="116">
        <v>6.02</v>
      </c>
      <c r="E30" s="116">
        <v>7.6</v>
      </c>
      <c r="F30" s="116">
        <v>5.49</v>
      </c>
      <c r="G30" s="116">
        <v>22.2</v>
      </c>
      <c r="H30" s="116">
        <v>1.96</v>
      </c>
      <c r="I30" s="117">
        <v>0.37</v>
      </c>
      <c r="J30" s="116">
        <v>2.4300000000000002</v>
      </c>
      <c r="K30" s="116">
        <v>7.47</v>
      </c>
      <c r="L30" s="116">
        <v>9.8699999999999992</v>
      </c>
      <c r="M30" s="183">
        <v>16.59</v>
      </c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 spans="2:27" ht="15" customHeight="1" x14ac:dyDescent="0.25">
      <c r="B31" s="118" t="s">
        <v>123</v>
      </c>
      <c r="C31" s="119"/>
      <c r="D31" s="120">
        <f t="shared" ref="D31:M31" si="0">_xlfn.STDEV.P(D18:D29)/AVERAGE(D18:D29)</f>
        <v>0.14417506983176936</v>
      </c>
      <c r="E31" s="120">
        <f t="shared" si="0"/>
        <v>0.13072463933407383</v>
      </c>
      <c r="F31" s="120">
        <f t="shared" si="0"/>
        <v>8.4510373148590834E-2</v>
      </c>
      <c r="G31" s="120">
        <f t="shared" si="0"/>
        <v>0.16130241105526608</v>
      </c>
      <c r="H31" s="120">
        <f t="shared" si="0"/>
        <v>3.4740123105534808E-2</v>
      </c>
      <c r="I31" s="120">
        <f t="shared" si="0"/>
        <v>0.13478163808693616</v>
      </c>
      <c r="J31" s="120">
        <f t="shared" si="0"/>
        <v>6.3607798815553812E-2</v>
      </c>
      <c r="K31" s="120">
        <f t="shared" si="0"/>
        <v>9.3572752624250008E-2</v>
      </c>
      <c r="L31" s="120">
        <f t="shared" si="0"/>
        <v>2.5872414254932651E-2</v>
      </c>
      <c r="M31" s="121">
        <f t="shared" si="0"/>
        <v>7.8262459339684939E-2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2:27" ht="15.75" thickBot="1" x14ac:dyDescent="0.3">
      <c r="B32" s="122" t="s">
        <v>224</v>
      </c>
      <c r="C32" s="123">
        <v>0.1</v>
      </c>
      <c r="D32" s="124">
        <v>0.14878620007693394</v>
      </c>
      <c r="E32" s="124">
        <v>0.14093368428597078</v>
      </c>
      <c r="F32" s="124">
        <v>8.5789037660602141E-2</v>
      </c>
      <c r="G32" s="124">
        <v>0.16284213718981608</v>
      </c>
      <c r="H32" s="124">
        <v>4.9138318279732605E-2</v>
      </c>
      <c r="I32" s="124">
        <v>0.13780345048127843</v>
      </c>
      <c r="J32" s="124">
        <v>8.1039886945218478E-2</v>
      </c>
      <c r="K32" s="124">
        <v>0.11067021626788821</v>
      </c>
      <c r="L32" s="124">
        <v>3.2257751191922056E-2</v>
      </c>
      <c r="M32" s="125">
        <v>8.9034775356003334E-2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2:27" x14ac:dyDescent="0.25"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2:27" ht="15.75" thickBot="1" x14ac:dyDescent="0.3">
      <c r="P34" s="7"/>
    </row>
    <row r="35" spans="2:27" ht="15.75" thickBot="1" x14ac:dyDescent="0.3">
      <c r="B35" s="111"/>
      <c r="C35" s="86" t="s">
        <v>41</v>
      </c>
      <c r="D35" s="113" t="s">
        <v>42</v>
      </c>
      <c r="E35" s="113" t="s">
        <v>43</v>
      </c>
      <c r="F35" s="113" t="s">
        <v>44</v>
      </c>
      <c r="G35" s="113" t="s">
        <v>45</v>
      </c>
      <c r="H35" s="114" t="s">
        <v>46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2:27" x14ac:dyDescent="0.25">
      <c r="B36" s="71" t="s">
        <v>23</v>
      </c>
      <c r="C36" s="112">
        <v>102.6</v>
      </c>
      <c r="D36" s="94">
        <v>3.86</v>
      </c>
      <c r="E36" s="94">
        <v>4.5599999999999996</v>
      </c>
      <c r="F36" s="94">
        <v>15.05</v>
      </c>
      <c r="G36" s="94">
        <v>0.27</v>
      </c>
      <c r="H36" s="94">
        <v>5.47</v>
      </c>
    </row>
    <row r="37" spans="2:27" x14ac:dyDescent="0.25">
      <c r="B37" s="71" t="s">
        <v>24</v>
      </c>
      <c r="C37" s="48">
        <v>104.3</v>
      </c>
      <c r="D37" s="46">
        <v>4.32</v>
      </c>
      <c r="E37" s="46">
        <v>5.18</v>
      </c>
      <c r="F37" s="46">
        <v>16.91</v>
      </c>
      <c r="G37" s="4">
        <v>0.26</v>
      </c>
      <c r="H37" s="46">
        <v>5.56</v>
      </c>
    </row>
    <row r="38" spans="2:27" x14ac:dyDescent="0.25">
      <c r="B38" s="71" t="s">
        <v>25</v>
      </c>
      <c r="C38" s="48">
        <v>103.7</v>
      </c>
      <c r="D38" s="46">
        <v>5.8</v>
      </c>
      <c r="E38" s="46">
        <v>6.5</v>
      </c>
      <c r="F38" s="46">
        <v>15.95</v>
      </c>
      <c r="G38" s="4">
        <v>0.41</v>
      </c>
      <c r="H38" s="46">
        <v>5.59</v>
      </c>
    </row>
    <row r="39" spans="2:27" x14ac:dyDescent="0.25">
      <c r="B39" s="71" t="s">
        <v>26</v>
      </c>
      <c r="C39" s="48">
        <v>100.9</v>
      </c>
      <c r="D39" s="46">
        <v>5.72</v>
      </c>
      <c r="E39" s="46">
        <v>6.35</v>
      </c>
      <c r="F39" s="46">
        <v>17.23</v>
      </c>
      <c r="G39" s="4">
        <v>0.32</v>
      </c>
      <c r="H39" s="46">
        <v>5.7</v>
      </c>
    </row>
    <row r="40" spans="2:27" x14ac:dyDescent="0.25">
      <c r="B40" s="71" t="s">
        <v>27</v>
      </c>
      <c r="C40" s="48">
        <v>100</v>
      </c>
      <c r="D40" s="46">
        <v>5.17</v>
      </c>
      <c r="E40" s="46">
        <v>6.15</v>
      </c>
      <c r="F40" s="46">
        <v>17.05</v>
      </c>
      <c r="G40" s="4">
        <v>0.28999999999999998</v>
      </c>
      <c r="H40" s="46">
        <v>5.75</v>
      </c>
    </row>
    <row r="41" spans="2:27" x14ac:dyDescent="0.25">
      <c r="B41" s="71" t="s">
        <v>28</v>
      </c>
      <c r="C41" s="48">
        <v>99.1</v>
      </c>
      <c r="D41" s="46">
        <v>4.45</v>
      </c>
      <c r="E41" s="46">
        <v>5.72</v>
      </c>
      <c r="F41" s="46">
        <v>15.15</v>
      </c>
      <c r="G41" s="4">
        <v>0.3</v>
      </c>
      <c r="H41" s="46">
        <v>5.57</v>
      </c>
    </row>
    <row r="42" spans="2:27" x14ac:dyDescent="0.25">
      <c r="B42" s="71" t="s">
        <v>29</v>
      </c>
      <c r="C42" s="48">
        <v>99.4</v>
      </c>
      <c r="D42" s="46">
        <v>4.3600000000000003</v>
      </c>
      <c r="E42" s="46">
        <v>5.58</v>
      </c>
      <c r="F42" s="46">
        <v>16.190000000000001</v>
      </c>
      <c r="G42" s="4">
        <v>0.26</v>
      </c>
      <c r="H42" s="46">
        <v>5.52</v>
      </c>
    </row>
    <row r="43" spans="2:27" x14ac:dyDescent="0.25">
      <c r="B43" s="71" t="s">
        <v>30</v>
      </c>
      <c r="C43" s="48">
        <v>102</v>
      </c>
      <c r="D43" s="46">
        <v>4.46</v>
      </c>
      <c r="E43" s="46">
        <v>6</v>
      </c>
      <c r="F43" s="46">
        <v>22.85</v>
      </c>
      <c r="G43" s="4">
        <v>0.35</v>
      </c>
      <c r="H43" s="46">
        <v>6.09</v>
      </c>
    </row>
    <row r="44" spans="2:27" x14ac:dyDescent="0.25">
      <c r="B44" s="71" t="s">
        <v>31</v>
      </c>
      <c r="C44" s="48">
        <v>101.6</v>
      </c>
      <c r="D44" s="46">
        <v>4.5</v>
      </c>
      <c r="E44" s="46">
        <v>6.11</v>
      </c>
      <c r="F44" s="46">
        <v>23.89</v>
      </c>
      <c r="G44" s="4">
        <v>0.32</v>
      </c>
      <c r="H44" s="46">
        <v>6.64</v>
      </c>
    </row>
    <row r="45" spans="2:27" x14ac:dyDescent="0.25">
      <c r="B45" s="71" t="s">
        <v>32</v>
      </c>
      <c r="C45" s="48">
        <v>102.3</v>
      </c>
      <c r="D45" s="46">
        <v>5.17</v>
      </c>
      <c r="E45" s="46">
        <v>6.56</v>
      </c>
      <c r="F45" s="46">
        <v>21</v>
      </c>
      <c r="G45" s="4">
        <v>0.3</v>
      </c>
      <c r="H45" s="46">
        <v>6.86</v>
      </c>
    </row>
    <row r="46" spans="2:27" x14ac:dyDescent="0.25">
      <c r="B46" s="71" t="s">
        <v>33</v>
      </c>
      <c r="C46" s="48">
        <v>103.4</v>
      </c>
      <c r="D46" s="46">
        <v>6.17</v>
      </c>
      <c r="E46" s="46">
        <v>7.78</v>
      </c>
      <c r="F46" s="46">
        <v>19.170000000000002</v>
      </c>
      <c r="G46" s="4">
        <v>0.32</v>
      </c>
      <c r="H46" s="46">
        <v>7.04</v>
      </c>
    </row>
    <row r="47" spans="2:27" x14ac:dyDescent="0.25">
      <c r="B47" s="71" t="s">
        <v>34</v>
      </c>
      <c r="C47" s="48">
        <v>105.1</v>
      </c>
      <c r="D47" s="46">
        <v>6.02</v>
      </c>
      <c r="E47" s="46">
        <v>7.6</v>
      </c>
      <c r="F47" s="46">
        <v>22.2</v>
      </c>
      <c r="G47" s="4">
        <v>0.37</v>
      </c>
      <c r="H47" s="46">
        <v>7.47</v>
      </c>
    </row>
    <row r="49" spans="1:12" ht="15.75" thickBot="1" x14ac:dyDescent="0.3"/>
    <row r="50" spans="1:12" ht="15.75" thickBot="1" x14ac:dyDescent="0.3">
      <c r="B50" s="192" t="s">
        <v>40</v>
      </c>
      <c r="C50" s="193"/>
      <c r="D50" s="193"/>
      <c r="E50" s="193"/>
      <c r="F50" s="193"/>
      <c r="G50" s="193"/>
      <c r="H50" s="194"/>
    </row>
    <row r="51" spans="1:12" ht="15.75" thickBot="1" x14ac:dyDescent="0.3">
      <c r="B51" s="45"/>
      <c r="C51" s="45"/>
      <c r="D51" s="45"/>
      <c r="E51" s="45"/>
      <c r="F51" s="45"/>
      <c r="G51" s="45"/>
      <c r="H51" s="45"/>
    </row>
    <row r="52" spans="1:12" ht="15.75" thickBot="1" x14ac:dyDescent="0.3">
      <c r="B52" s="128"/>
      <c r="C52" s="129" t="s">
        <v>41</v>
      </c>
      <c r="D52" s="129" t="s">
        <v>42</v>
      </c>
      <c r="E52" s="129" t="s">
        <v>43</v>
      </c>
      <c r="F52" s="129" t="s">
        <v>44</v>
      </c>
      <c r="G52" s="129" t="s">
        <v>45</v>
      </c>
      <c r="H52" s="130" t="s">
        <v>46</v>
      </c>
    </row>
    <row r="53" spans="1:12" x14ac:dyDescent="0.25">
      <c r="B53" s="126" t="s">
        <v>41</v>
      </c>
      <c r="C53" s="92">
        <v>1</v>
      </c>
      <c r="D53" s="127">
        <v>0.38246168388220958</v>
      </c>
      <c r="E53" s="127">
        <v>0.35481392515026178</v>
      </c>
      <c r="F53" s="127">
        <v>0.31346477275027296</v>
      </c>
      <c r="G53" s="127">
        <v>0.42873263774837389</v>
      </c>
      <c r="H53" s="127">
        <v>0.48679674056438443</v>
      </c>
    </row>
    <row r="54" spans="1:12" x14ac:dyDescent="0.25">
      <c r="B54" s="21" t="s">
        <v>42</v>
      </c>
      <c r="C54" s="4">
        <v>0.38246168388220958</v>
      </c>
      <c r="D54" s="22">
        <v>1</v>
      </c>
      <c r="E54" s="22">
        <v>0.9081275859099609</v>
      </c>
      <c r="F54" s="22">
        <v>0.18809219718593634</v>
      </c>
      <c r="G54" s="22">
        <v>0.63521010398379929</v>
      </c>
      <c r="H54" s="22">
        <v>0.55614049596400628</v>
      </c>
    </row>
    <row r="55" spans="1:12" x14ac:dyDescent="0.25">
      <c r="B55" s="21" t="s">
        <v>43</v>
      </c>
      <c r="C55" s="4">
        <v>0.35481392515026178</v>
      </c>
      <c r="D55" s="22">
        <v>0.9081275859099609</v>
      </c>
      <c r="E55" s="22">
        <v>1</v>
      </c>
      <c r="F55" s="22">
        <v>0.48298904086597266</v>
      </c>
      <c r="G55" s="22">
        <v>0.60499181829759785</v>
      </c>
      <c r="H55" s="22">
        <v>0.79862938604250122</v>
      </c>
    </row>
    <row r="56" spans="1:12" x14ac:dyDescent="0.25">
      <c r="B56" s="21" t="s">
        <v>44</v>
      </c>
      <c r="C56" s="4">
        <v>0.31346477275027296</v>
      </c>
      <c r="D56" s="22">
        <v>0.18809219718593634</v>
      </c>
      <c r="E56" s="22">
        <v>0.48298904086597266</v>
      </c>
      <c r="F56" s="22">
        <v>1</v>
      </c>
      <c r="G56" s="22">
        <v>0.35469661308429973</v>
      </c>
      <c r="H56" s="22">
        <v>0.77263560321206459</v>
      </c>
    </row>
    <row r="57" spans="1:12" x14ac:dyDescent="0.25">
      <c r="B57" s="21" t="s">
        <v>45</v>
      </c>
      <c r="C57" s="4">
        <v>0.42873263774837389</v>
      </c>
      <c r="D57" s="22">
        <v>0.63521010398379929</v>
      </c>
      <c r="E57" s="22">
        <v>0.60499181829759785</v>
      </c>
      <c r="F57" s="22">
        <v>0.35469661308429973</v>
      </c>
      <c r="G57" s="22">
        <v>1</v>
      </c>
      <c r="H57" s="22">
        <v>0.36252663660518653</v>
      </c>
    </row>
    <row r="58" spans="1:12" x14ac:dyDescent="0.25">
      <c r="B58" s="21" t="s">
        <v>46</v>
      </c>
      <c r="C58" s="4">
        <v>0.48679674056438443</v>
      </c>
      <c r="D58" s="22">
        <v>0.55614049596400628</v>
      </c>
      <c r="E58" s="22">
        <v>0.79862938604250122</v>
      </c>
      <c r="F58" s="22">
        <v>0.77263560321206459</v>
      </c>
      <c r="G58" s="22">
        <v>0.36252663660518653</v>
      </c>
      <c r="H58" s="22">
        <v>1</v>
      </c>
    </row>
    <row r="60" spans="1:12" ht="15.75" thickBot="1" x14ac:dyDescent="0.3"/>
    <row r="61" spans="1:12" ht="15.75" thickBot="1" x14ac:dyDescent="0.3">
      <c r="B61" s="192" t="s">
        <v>47</v>
      </c>
      <c r="C61" s="193"/>
      <c r="D61" s="193"/>
      <c r="E61" s="193"/>
      <c r="F61" s="193"/>
      <c r="G61" s="193"/>
      <c r="H61" s="193"/>
      <c r="I61" s="193"/>
      <c r="J61" s="193"/>
      <c r="K61" s="193"/>
      <c r="L61" s="194"/>
    </row>
    <row r="62" spans="1:12" ht="15.75" thickBot="1" x14ac:dyDescent="0.3">
      <c r="B62" s="101"/>
      <c r="C62" s="101"/>
    </row>
    <row r="63" spans="1:12" ht="15.75" thickBot="1" x14ac:dyDescent="0.3">
      <c r="B63" s="73" t="s">
        <v>48</v>
      </c>
      <c r="C63" s="188" t="s">
        <v>75</v>
      </c>
      <c r="D63" s="188"/>
      <c r="E63" s="188"/>
      <c r="F63" s="188"/>
      <c r="G63" s="188"/>
      <c r="H63" s="188" t="s">
        <v>76</v>
      </c>
      <c r="I63" s="188"/>
      <c r="J63" s="188"/>
      <c r="K63" s="188"/>
      <c r="L63" s="189"/>
    </row>
    <row r="64" spans="1:12" x14ac:dyDescent="0.25">
      <c r="A64">
        <v>1</v>
      </c>
      <c r="B64" s="132" t="s">
        <v>42</v>
      </c>
      <c r="C64" s="60">
        <f>D53^2/1</f>
        <v>0.14627693963801522</v>
      </c>
      <c r="D64" s="61"/>
      <c r="E64" s="62"/>
      <c r="F64" s="61"/>
      <c r="G64" s="74"/>
      <c r="H64" s="190">
        <f>SUM(C64:G64)</f>
        <v>0.14627693963801522</v>
      </c>
      <c r="I64" s="190"/>
      <c r="J64" s="190"/>
      <c r="K64" s="190"/>
      <c r="L64" s="191"/>
    </row>
    <row r="65" spans="1:12" x14ac:dyDescent="0.25">
      <c r="A65">
        <v>2</v>
      </c>
      <c r="B65" s="54" t="s">
        <v>43</v>
      </c>
      <c r="C65" s="56"/>
      <c r="D65" s="57">
        <f>E53^2/1</f>
        <v>0.12589292148053557</v>
      </c>
      <c r="E65" s="58"/>
      <c r="F65" s="57"/>
      <c r="G65" s="75"/>
      <c r="H65" s="184">
        <f t="shared" ref="H65:H94" si="1">SUM(C65:G65)</f>
        <v>0.12589292148053557</v>
      </c>
      <c r="I65" s="184"/>
      <c r="J65" s="184"/>
      <c r="K65" s="184"/>
      <c r="L65" s="185"/>
    </row>
    <row r="66" spans="1:12" x14ac:dyDescent="0.25">
      <c r="A66">
        <v>3</v>
      </c>
      <c r="B66" s="54" t="s">
        <v>44</v>
      </c>
      <c r="C66" s="56"/>
      <c r="D66" s="57"/>
      <c r="E66" s="58">
        <f>F53^2/1</f>
        <v>9.826016375538027E-2</v>
      </c>
      <c r="F66" s="57"/>
      <c r="G66" s="75"/>
      <c r="H66" s="184">
        <f t="shared" si="1"/>
        <v>9.826016375538027E-2</v>
      </c>
      <c r="I66" s="184"/>
      <c r="J66" s="184"/>
      <c r="K66" s="184"/>
      <c r="L66" s="185"/>
    </row>
    <row r="67" spans="1:12" x14ac:dyDescent="0.25">
      <c r="A67">
        <v>4</v>
      </c>
      <c r="B67" s="54" t="s">
        <v>45</v>
      </c>
      <c r="C67" s="56"/>
      <c r="D67" s="57"/>
      <c r="E67" s="58"/>
      <c r="F67" s="57">
        <f>G53^2/1</f>
        <v>0.18381167467067838</v>
      </c>
      <c r="G67" s="75"/>
      <c r="H67" s="184">
        <f t="shared" si="1"/>
        <v>0.18381167467067838</v>
      </c>
      <c r="I67" s="184"/>
      <c r="J67" s="184"/>
      <c r="K67" s="184"/>
      <c r="L67" s="185"/>
    </row>
    <row r="68" spans="1:12" ht="15.75" thickBot="1" x14ac:dyDescent="0.3">
      <c r="A68">
        <v>5</v>
      </c>
      <c r="B68" s="55" t="s">
        <v>46</v>
      </c>
      <c r="C68" s="34"/>
      <c r="D68" s="35"/>
      <c r="E68" s="59"/>
      <c r="F68" s="35"/>
      <c r="G68" s="76">
        <f>H53^2/1</f>
        <v>0.23697106662410861</v>
      </c>
      <c r="H68" s="184">
        <f t="shared" si="1"/>
        <v>0.23697106662410861</v>
      </c>
      <c r="I68" s="184"/>
      <c r="J68" s="184"/>
      <c r="K68" s="184"/>
      <c r="L68" s="185"/>
    </row>
    <row r="69" spans="1:12" x14ac:dyDescent="0.25">
      <c r="A69">
        <v>6</v>
      </c>
      <c r="B69" s="53" t="s">
        <v>49</v>
      </c>
      <c r="C69" s="25">
        <f>D53^2/(1+D55)</f>
        <v>7.6659936535772938E-2</v>
      </c>
      <c r="D69" s="26">
        <f>E53^2/(1+E54)</f>
        <v>6.5977203207037594E-2</v>
      </c>
      <c r="E69" s="27"/>
      <c r="F69" s="26"/>
      <c r="G69" s="77"/>
      <c r="H69" s="184">
        <f t="shared" si="1"/>
        <v>0.14263713974281053</v>
      </c>
      <c r="I69" s="184"/>
      <c r="J69" s="184"/>
      <c r="K69" s="184"/>
      <c r="L69" s="185"/>
    </row>
    <row r="70" spans="1:12" x14ac:dyDescent="0.25">
      <c r="A70">
        <v>7</v>
      </c>
      <c r="B70" s="54" t="s">
        <v>50</v>
      </c>
      <c r="C70" s="28">
        <f>D53^2/(1+D56)</f>
        <v>0.12311918215141925</v>
      </c>
      <c r="D70" s="29"/>
      <c r="E70" s="30">
        <f>F53^2/(1+F54)</f>
        <v>8.2704157125276165E-2</v>
      </c>
      <c r="F70" s="29"/>
      <c r="G70" s="78"/>
      <c r="H70" s="184">
        <f t="shared" si="1"/>
        <v>0.20582333927669541</v>
      </c>
      <c r="I70" s="184"/>
      <c r="J70" s="184"/>
      <c r="K70" s="184"/>
      <c r="L70" s="185"/>
    </row>
    <row r="71" spans="1:12" x14ac:dyDescent="0.25">
      <c r="A71">
        <v>8</v>
      </c>
      <c r="B71" s="54" t="s">
        <v>51</v>
      </c>
      <c r="C71" s="28">
        <f>D53^2/(1+D57)</f>
        <v>8.9454522866294892E-2</v>
      </c>
      <c r="D71" s="29"/>
      <c r="E71" s="30"/>
      <c r="F71" s="29">
        <f>G53^2/(1+G54)</f>
        <v>0.1124085976614657</v>
      </c>
      <c r="G71" s="78"/>
      <c r="H71" s="184">
        <f t="shared" si="1"/>
        <v>0.20186312052776059</v>
      </c>
      <c r="I71" s="184"/>
      <c r="J71" s="184"/>
      <c r="K71" s="184"/>
      <c r="L71" s="185"/>
    </row>
    <row r="72" spans="1:12" x14ac:dyDescent="0.25">
      <c r="A72">
        <v>9</v>
      </c>
      <c r="B72" s="54" t="s">
        <v>52</v>
      </c>
      <c r="C72" s="28">
        <f>D53^2/(1+D58)</f>
        <v>9.3999828432842616E-2</v>
      </c>
      <c r="D72" s="29"/>
      <c r="E72" s="30"/>
      <c r="F72" s="29"/>
      <c r="G72" s="78">
        <f>H53^2/(1+H54)</f>
        <v>0.15228128002498159</v>
      </c>
      <c r="H72" s="184">
        <f t="shared" si="1"/>
        <v>0.24628110845782419</v>
      </c>
      <c r="I72" s="184"/>
      <c r="J72" s="184"/>
      <c r="K72" s="184"/>
      <c r="L72" s="185"/>
    </row>
    <row r="73" spans="1:12" x14ac:dyDescent="0.25">
      <c r="A73">
        <v>10</v>
      </c>
      <c r="B73" s="54" t="s">
        <v>53</v>
      </c>
      <c r="C73" s="28"/>
      <c r="D73" s="29">
        <f>E53^2/(1+E56)</f>
        <v>8.4891336356081218E-2</v>
      </c>
      <c r="E73" s="30">
        <f>F53^2/(1+F55)</f>
        <v>6.6258186033527594E-2</v>
      </c>
      <c r="F73" s="29"/>
      <c r="G73" s="78"/>
      <c r="H73" s="184">
        <f t="shared" si="1"/>
        <v>0.15114952238960883</v>
      </c>
      <c r="I73" s="184"/>
      <c r="J73" s="184"/>
      <c r="K73" s="184"/>
      <c r="L73" s="185"/>
    </row>
    <row r="74" spans="1:12" x14ac:dyDescent="0.25">
      <c r="A74">
        <v>11</v>
      </c>
      <c r="B74" s="54" t="s">
        <v>54</v>
      </c>
      <c r="C74" s="28"/>
      <c r="D74" s="29">
        <f>E53^2/(1+E57)</f>
        <v>7.8438357158773064E-2</v>
      </c>
      <c r="E74" s="30"/>
      <c r="F74" s="29">
        <f>G53^2/(1+G55)</f>
        <v>0.11452499170098324</v>
      </c>
      <c r="G74" s="78"/>
      <c r="H74" s="184">
        <f t="shared" si="1"/>
        <v>0.1929633488597563</v>
      </c>
      <c r="I74" s="184"/>
      <c r="J74" s="184"/>
      <c r="K74" s="184"/>
      <c r="L74" s="185"/>
    </row>
    <row r="75" spans="1:12" x14ac:dyDescent="0.25">
      <c r="A75">
        <v>12</v>
      </c>
      <c r="B75" s="54" t="s">
        <v>55</v>
      </c>
      <c r="C75" s="28"/>
      <c r="D75" s="29">
        <f>E53^2/(1+E58)</f>
        <v>6.9993808873286559E-2</v>
      </c>
      <c r="E75" s="30"/>
      <c r="F75" s="29"/>
      <c r="G75" s="78">
        <f>H53^2/(1+H55)</f>
        <v>0.13175091459253466</v>
      </c>
      <c r="H75" s="184">
        <f t="shared" si="1"/>
        <v>0.20174472346582123</v>
      </c>
      <c r="I75" s="184"/>
      <c r="J75" s="184"/>
      <c r="K75" s="184"/>
      <c r="L75" s="185"/>
    </row>
    <row r="76" spans="1:12" x14ac:dyDescent="0.25">
      <c r="A76">
        <v>13</v>
      </c>
      <c r="B76" s="54" t="s">
        <v>56</v>
      </c>
      <c r="C76" s="28"/>
      <c r="D76" s="29"/>
      <c r="E76" s="30">
        <f>F53^2/(1+F57)</f>
        <v>7.2532966279192854E-2</v>
      </c>
      <c r="F76" s="29">
        <f>G53^2/(1+G56)</f>
        <v>0.13568475250867126</v>
      </c>
      <c r="G76" s="78"/>
      <c r="H76" s="184">
        <f t="shared" si="1"/>
        <v>0.2082177187878641</v>
      </c>
      <c r="I76" s="184"/>
      <c r="J76" s="184"/>
      <c r="K76" s="184"/>
      <c r="L76" s="185"/>
    </row>
    <row r="77" spans="1:12" ht="15.75" thickBot="1" x14ac:dyDescent="0.3">
      <c r="A77">
        <v>14</v>
      </c>
      <c r="B77" s="54" t="s">
        <v>57</v>
      </c>
      <c r="C77" s="28"/>
      <c r="D77" s="29"/>
      <c r="E77" s="30">
        <f>F53^2/(1+F58)</f>
        <v>5.5431676751459887E-2</v>
      </c>
      <c r="F77" s="29"/>
      <c r="G77" s="78">
        <f>H53^2/(1+H56)</f>
        <v>0.13368289917832549</v>
      </c>
      <c r="H77" s="184">
        <f t="shared" si="1"/>
        <v>0.18911457592978537</v>
      </c>
      <c r="I77" s="184"/>
      <c r="J77" s="184"/>
      <c r="K77" s="184"/>
      <c r="L77" s="185"/>
    </row>
    <row r="78" spans="1:12" ht="15.75" thickBot="1" x14ac:dyDescent="0.3">
      <c r="A78">
        <v>15</v>
      </c>
      <c r="B78" s="55" t="s">
        <v>58</v>
      </c>
      <c r="C78" s="31"/>
      <c r="D78" s="32"/>
      <c r="E78" s="33"/>
      <c r="F78" s="32">
        <f>G53^2/(1+G58)</f>
        <v>0.13490501376813868</v>
      </c>
      <c r="G78" s="79">
        <f>H53^2/(1+H57)</f>
        <v>0.17392031851541315</v>
      </c>
      <c r="H78" s="197">
        <f t="shared" si="1"/>
        <v>0.3088253322835518</v>
      </c>
      <c r="I78" s="197"/>
      <c r="J78" s="197"/>
      <c r="K78" s="197"/>
      <c r="L78" s="198"/>
    </row>
    <row r="79" spans="1:12" x14ac:dyDescent="0.25">
      <c r="A79">
        <v>16</v>
      </c>
      <c r="B79" s="53" t="s">
        <v>59</v>
      </c>
      <c r="C79" s="36">
        <f>D53^2/(1+D55+D56)</f>
        <v>6.9781299087817744E-2</v>
      </c>
      <c r="D79" s="37">
        <f>E53^2/(1+E54+E56)</f>
        <v>5.2650263927227804E-2</v>
      </c>
      <c r="E79" s="63">
        <f>F53^2/(1+F54+F55)</f>
        <v>5.8800351244400723E-2</v>
      </c>
      <c r="F79" s="37"/>
      <c r="G79" s="80"/>
      <c r="H79" s="184">
        <f t="shared" si="1"/>
        <v>0.18123191425944626</v>
      </c>
      <c r="I79" s="184"/>
      <c r="J79" s="184"/>
      <c r="K79" s="184"/>
      <c r="L79" s="185"/>
    </row>
    <row r="80" spans="1:12" x14ac:dyDescent="0.25">
      <c r="A80">
        <v>17</v>
      </c>
      <c r="B80" s="54" t="s">
        <v>60</v>
      </c>
      <c r="C80" s="38">
        <f>D53^2/(1+D55+D57)</f>
        <v>5.7513770278820299E-2</v>
      </c>
      <c r="D80" s="39">
        <f>E53^2/(1+E54+E57)</f>
        <v>5.0094285719079215E-2</v>
      </c>
      <c r="E80" s="64"/>
      <c r="F80" s="39">
        <f>G53^2/(1+G54+G55)</f>
        <v>8.2051386905108353E-2</v>
      </c>
      <c r="G80" s="81"/>
      <c r="H80" s="184">
        <f t="shared" si="1"/>
        <v>0.18965944290300787</v>
      </c>
      <c r="I80" s="184"/>
      <c r="J80" s="184"/>
      <c r="K80" s="184"/>
      <c r="L80" s="185"/>
    </row>
    <row r="81" spans="1:12" x14ac:dyDescent="0.25">
      <c r="A81">
        <v>18</v>
      </c>
      <c r="B81" s="54" t="s">
        <v>61</v>
      </c>
      <c r="C81" s="38">
        <f>D53^2/(1+D55+D58)</f>
        <v>5.9359182839708757E-2</v>
      </c>
      <c r="D81" s="39">
        <f>E53^2/(1+E54+E58)</f>
        <v>4.6510611327519873E-2</v>
      </c>
      <c r="E81" s="64"/>
      <c r="F81" s="39"/>
      <c r="G81" s="81">
        <f>H53^2/(1+H54+H55)</f>
        <v>0.10063449020427624</v>
      </c>
      <c r="H81" s="184">
        <f t="shared" si="1"/>
        <v>0.20650428437150486</v>
      </c>
      <c r="I81" s="184"/>
      <c r="J81" s="184"/>
      <c r="K81" s="184"/>
      <c r="L81" s="185"/>
    </row>
    <row r="82" spans="1:12" x14ac:dyDescent="0.25">
      <c r="A82">
        <v>19</v>
      </c>
      <c r="B82" s="54" t="s">
        <v>71</v>
      </c>
      <c r="C82" s="38">
        <f>D53^2/(1+D56+D57)</f>
        <v>8.0226378008831312E-2</v>
      </c>
      <c r="D82" s="39"/>
      <c r="E82" s="64">
        <f>F53^2/(1+F54+F57)</f>
        <v>6.3689963980338271E-2</v>
      </c>
      <c r="F82" s="39">
        <f>G53^2/(1+G54+G56)</f>
        <v>9.2372005729747964E-2</v>
      </c>
      <c r="G82" s="81"/>
      <c r="H82" s="184">
        <f t="shared" si="1"/>
        <v>0.23628834771891755</v>
      </c>
      <c r="I82" s="184"/>
      <c r="J82" s="184"/>
      <c r="K82" s="184"/>
      <c r="L82" s="185"/>
    </row>
    <row r="83" spans="1:12" x14ac:dyDescent="0.25">
      <c r="A83">
        <v>20</v>
      </c>
      <c r="B83" s="54" t="s">
        <v>72</v>
      </c>
      <c r="C83" s="38">
        <f>D53^2/(1+D56+D58)</f>
        <v>8.3863202548881799E-2</v>
      </c>
      <c r="D83" s="39"/>
      <c r="E83" s="64">
        <f>F53^2/(1+F54+F58)</f>
        <v>5.0114127894465919E-2</v>
      </c>
      <c r="F83" s="39"/>
      <c r="G83" s="81">
        <f>H53^2/(1+H54+H56)</f>
        <v>0.10175777169301498</v>
      </c>
      <c r="H83" s="184">
        <f t="shared" si="1"/>
        <v>0.2357351021363627</v>
      </c>
      <c r="I83" s="184"/>
      <c r="J83" s="184"/>
      <c r="K83" s="184"/>
      <c r="L83" s="185"/>
    </row>
    <row r="84" spans="1:12" x14ac:dyDescent="0.25">
      <c r="A84">
        <v>21</v>
      </c>
      <c r="B84" s="54" t="s">
        <v>73</v>
      </c>
      <c r="C84" s="38">
        <f>D53^2/(1+D57+D58)</f>
        <v>6.6751956369509882E-2</v>
      </c>
      <c r="D84" s="39"/>
      <c r="E84" s="64"/>
      <c r="F84" s="39">
        <f>G53^2/(1+G54+G58)</f>
        <v>9.2009958537622852E-2</v>
      </c>
      <c r="G84" s="81">
        <f>H53^2/(1+H54+H57)</f>
        <v>0.12350817012578534</v>
      </c>
      <c r="H84" s="184">
        <f t="shared" si="1"/>
        <v>0.28227008503291806</v>
      </c>
      <c r="I84" s="184"/>
      <c r="J84" s="184"/>
      <c r="K84" s="184"/>
      <c r="L84" s="185"/>
    </row>
    <row r="85" spans="1:12" x14ac:dyDescent="0.25">
      <c r="A85">
        <v>22</v>
      </c>
      <c r="B85" s="54" t="s">
        <v>62</v>
      </c>
      <c r="C85" s="38"/>
      <c r="D85" s="39">
        <f>E53^2/(1+E56+E57)</f>
        <v>6.0294097490418253E-2</v>
      </c>
      <c r="E85" s="64">
        <f>F53^2/(1+F55+F57)</f>
        <v>5.3469516695720573E-2</v>
      </c>
      <c r="F85" s="39">
        <f>G53^2/(1+G55+G56)</f>
        <v>9.379637687663514E-2</v>
      </c>
      <c r="G85" s="81"/>
      <c r="H85" s="184">
        <f t="shared" si="1"/>
        <v>0.20755999106277395</v>
      </c>
      <c r="I85" s="184"/>
      <c r="J85" s="184"/>
      <c r="K85" s="184"/>
      <c r="L85" s="185"/>
    </row>
    <row r="86" spans="1:12" x14ac:dyDescent="0.25">
      <c r="A86">
        <v>23</v>
      </c>
      <c r="B86" s="54" t="s">
        <v>63</v>
      </c>
      <c r="C86" s="38"/>
      <c r="D86" s="39">
        <f>E53^2/(1+E56+E58)</f>
        <v>5.5177026971646961E-2</v>
      </c>
      <c r="E86" s="64">
        <f>F53^2/(1+F55+F58)</f>
        <v>4.3562285069616749E-2</v>
      </c>
      <c r="F86" s="39"/>
      <c r="G86" s="81">
        <f>H53^2/(1+H55+H56)</f>
        <v>9.2161277664659841E-2</v>
      </c>
      <c r="H86" s="184">
        <f t="shared" si="1"/>
        <v>0.19090058970592355</v>
      </c>
      <c r="I86" s="184"/>
      <c r="J86" s="184"/>
      <c r="K86" s="184"/>
      <c r="L86" s="185"/>
    </row>
    <row r="87" spans="1:12" x14ac:dyDescent="0.25">
      <c r="A87">
        <v>24</v>
      </c>
      <c r="B87" s="54" t="s">
        <v>64</v>
      </c>
      <c r="C87" s="38"/>
      <c r="D87" s="39">
        <f>E53^2/(1+E57+E58)</f>
        <v>5.2376356662695855E-2</v>
      </c>
      <c r="E87" s="64"/>
      <c r="F87" s="39">
        <f>G53^2/(1+G55+G58)</f>
        <v>9.3423100664009065E-2</v>
      </c>
      <c r="G87" s="81">
        <f>H53^2/(1+H55+H57)</f>
        <v>0.10965014285909319</v>
      </c>
      <c r="H87" s="184">
        <f t="shared" si="1"/>
        <v>0.2554496001857981</v>
      </c>
      <c r="I87" s="184"/>
      <c r="J87" s="184"/>
      <c r="K87" s="184"/>
      <c r="L87" s="185"/>
    </row>
    <row r="88" spans="1:12" ht="15.75" thickBot="1" x14ac:dyDescent="0.3">
      <c r="A88">
        <v>25</v>
      </c>
      <c r="B88" s="55" t="s">
        <v>65</v>
      </c>
      <c r="C88" s="40"/>
      <c r="D88" s="41"/>
      <c r="E88" s="41">
        <f>F53^2/(1+F57+F58)</f>
        <v>4.6189383586945777E-2</v>
      </c>
      <c r="F88" s="41">
        <f>G53^2/(1+G56+G58)</f>
        <v>0.10704005708280261</v>
      </c>
      <c r="G88" s="82">
        <f>H53^2/(1+H56+H57)</f>
        <v>0.11098504001475364</v>
      </c>
      <c r="H88" s="184">
        <f t="shared" si="1"/>
        <v>0.26421448068450204</v>
      </c>
      <c r="I88" s="184"/>
      <c r="J88" s="184"/>
      <c r="K88" s="184"/>
      <c r="L88" s="185"/>
    </row>
    <row r="89" spans="1:12" x14ac:dyDescent="0.25">
      <c r="A89">
        <v>26</v>
      </c>
      <c r="B89" s="53" t="s">
        <v>66</v>
      </c>
      <c r="C89" s="65">
        <f>D53^2/(1+D55+D56+D57)</f>
        <v>5.3553247084957019E-2</v>
      </c>
      <c r="D89" s="66">
        <f>E53^2/(E54+E56+E57)</f>
        <v>6.3069179328028954E-2</v>
      </c>
      <c r="E89" s="66">
        <f>F53^2/(1+F54+F55+F57)</f>
        <v>4.8504905757691334E-2</v>
      </c>
      <c r="F89" s="66">
        <f>G53^2/(1+G54+G55+G56)</f>
        <v>7.0835784970210397E-2</v>
      </c>
      <c r="G89" s="83"/>
      <c r="H89" s="184">
        <f t="shared" si="1"/>
        <v>0.23596311714088772</v>
      </c>
      <c r="I89" s="184"/>
      <c r="J89" s="184"/>
      <c r="K89" s="184"/>
      <c r="L89" s="185"/>
    </row>
    <row r="90" spans="1:12" x14ac:dyDescent="0.25">
      <c r="A90">
        <v>27</v>
      </c>
      <c r="B90" s="54" t="s">
        <v>67</v>
      </c>
      <c r="C90" s="67">
        <f>D53^2/(1+D55+D56+D58)</f>
        <v>5.5149724866887725E-2</v>
      </c>
      <c r="D90" s="68">
        <f>E53^2/(1+E54+E56+E58)</f>
        <v>3.9468008103033123E-2</v>
      </c>
      <c r="E90" s="68">
        <f>F53^2/(F54+F55+F58)</f>
        <v>6.8060551035307962E-2</v>
      </c>
      <c r="F90" s="68"/>
      <c r="G90" s="84">
        <f>H53^2/(H54+H55+H56)</f>
        <v>0.1113897036886515</v>
      </c>
      <c r="H90" s="184">
        <f t="shared" si="1"/>
        <v>0.2740679876938803</v>
      </c>
      <c r="I90" s="184"/>
      <c r="J90" s="184"/>
      <c r="K90" s="184"/>
      <c r="L90" s="185"/>
    </row>
    <row r="91" spans="1:12" x14ac:dyDescent="0.25">
      <c r="A91">
        <v>28</v>
      </c>
      <c r="B91" s="54" t="s">
        <v>74</v>
      </c>
      <c r="C91" s="67">
        <f>D53^2/(1+D55+D57+D58)</f>
        <v>4.7194053600843056E-2</v>
      </c>
      <c r="D91" s="68">
        <f>E53^2/(1+E54+E57+E58)</f>
        <v>3.801403109172112E-2</v>
      </c>
      <c r="E91" s="68"/>
      <c r="F91" s="68">
        <f>G53^2/(1+G54+G55+G58)</f>
        <v>7.0622683277164658E-2</v>
      </c>
      <c r="G91" s="84">
        <f>H53^2/(1+H54+H55+H57)</f>
        <v>8.7208394446838117E-2</v>
      </c>
      <c r="H91" s="184">
        <f t="shared" si="1"/>
        <v>0.24303916241656695</v>
      </c>
      <c r="I91" s="184"/>
      <c r="J91" s="184"/>
      <c r="K91" s="184"/>
      <c r="L91" s="185"/>
    </row>
    <row r="92" spans="1:12" x14ac:dyDescent="0.25">
      <c r="A92">
        <v>29</v>
      </c>
      <c r="B92" s="54" t="s">
        <v>68</v>
      </c>
      <c r="C92" s="67">
        <f>D53^2/(1+D56+D57+D58)</f>
        <v>6.1475291532210506E-2</v>
      </c>
      <c r="D92" s="68"/>
      <c r="E92" s="68">
        <f>F53^2/(1+F54+F57+F58)</f>
        <v>4.2437215044995202E-2</v>
      </c>
      <c r="F92" s="68">
        <f>G53^2/(1+G54+G56+G58)</f>
        <v>7.8136825591109529E-2</v>
      </c>
      <c r="G92" s="84">
        <f>H53^2/(1+H54+H56+H57)</f>
        <v>8.805069138954312E-2</v>
      </c>
      <c r="H92" s="184">
        <f t="shared" si="1"/>
        <v>0.27010002355785839</v>
      </c>
      <c r="I92" s="184"/>
      <c r="J92" s="184"/>
      <c r="K92" s="184"/>
      <c r="L92" s="185"/>
    </row>
    <row r="93" spans="1:12" ht="15.75" thickBot="1" x14ac:dyDescent="0.3">
      <c r="A93">
        <v>30</v>
      </c>
      <c r="B93" s="55" t="s">
        <v>70</v>
      </c>
      <c r="C93" s="69"/>
      <c r="D93" s="70">
        <f>E53^2/(1+E56+E57+E58)</f>
        <v>4.3612718997866728E-2</v>
      </c>
      <c r="E93" s="70">
        <f>F53^2/(1+F55+F57+F58)</f>
        <v>3.7642938962309275E-2</v>
      </c>
      <c r="F93" s="70">
        <f>G53^2/(1+G55+G56+G58)</f>
        <v>7.9153596583114036E-2</v>
      </c>
      <c r="G93" s="85">
        <f>H53^2/(1+H55+H56+H57)</f>
        <v>8.077297124149499E-2</v>
      </c>
      <c r="H93" s="184">
        <f t="shared" si="1"/>
        <v>0.24118222578478501</v>
      </c>
      <c r="I93" s="184"/>
      <c r="J93" s="184"/>
      <c r="K93" s="184"/>
      <c r="L93" s="185"/>
    </row>
    <row r="94" spans="1:12" ht="15.75" thickBot="1" x14ac:dyDescent="0.3">
      <c r="A94">
        <v>31</v>
      </c>
      <c r="B94" s="90" t="s">
        <v>69</v>
      </c>
      <c r="C94" s="89">
        <f>D53^2/(1+D55+D56+D57+D58)</f>
        <v>4.4493933998331292E-2</v>
      </c>
      <c r="D94" s="87">
        <f>E53^2/(1+E54+E56+E57+E58)</f>
        <v>3.317565720831641E-2</v>
      </c>
      <c r="E94" s="87">
        <f>F53^2/(1+F54+F55+F57+F58)</f>
        <v>3.5112811369134952E-2</v>
      </c>
      <c r="F94" s="87">
        <f>G53^2/(1+G54+G55+G56+G58)</f>
        <v>6.2152603694849477E-2</v>
      </c>
      <c r="G94" s="88">
        <f>H53^2/(1+H54+H55+H56+H57)</f>
        <v>6.790133972584915E-2</v>
      </c>
      <c r="H94" s="195">
        <f t="shared" si="1"/>
        <v>0.2428363459964813</v>
      </c>
      <c r="I94" s="195"/>
      <c r="J94" s="195"/>
      <c r="K94" s="195"/>
      <c r="L94" s="196"/>
    </row>
    <row r="95" spans="1:12" x14ac:dyDescent="0.25">
      <c r="C95" s="19"/>
    </row>
    <row r="100" spans="2:23" ht="15.75" thickBot="1" x14ac:dyDescent="0.3"/>
    <row r="101" spans="2:23" ht="15.75" thickBot="1" x14ac:dyDescent="0.3">
      <c r="B101" s="192" t="s">
        <v>77</v>
      </c>
      <c r="C101" s="193"/>
      <c r="D101" s="193"/>
      <c r="E101" s="193"/>
      <c r="F101" s="193"/>
      <c r="G101" s="193"/>
      <c r="H101" s="193"/>
      <c r="I101" s="194"/>
      <c r="K101" s="19"/>
    </row>
    <row r="102" spans="2:23" ht="15.75" thickBot="1" x14ac:dyDescent="0.3">
      <c r="B102" s="101"/>
      <c r="C102" s="101"/>
      <c r="D102" s="101"/>
      <c r="E102" s="101"/>
      <c r="F102" s="101"/>
      <c r="G102" s="101"/>
      <c r="H102" s="101"/>
      <c r="I102" s="101"/>
      <c r="K102" s="19"/>
    </row>
    <row r="103" spans="2:23" ht="15.75" thickBot="1" x14ac:dyDescent="0.3">
      <c r="B103" s="134"/>
      <c r="C103" s="113" t="s">
        <v>41</v>
      </c>
      <c r="D103" s="113" t="s">
        <v>42</v>
      </c>
      <c r="E103" s="113" t="s">
        <v>43</v>
      </c>
      <c r="F103" s="113" t="s">
        <v>44</v>
      </c>
      <c r="G103" s="113" t="s">
        <v>45</v>
      </c>
      <c r="H103" s="113" t="s">
        <v>46</v>
      </c>
      <c r="I103" s="135"/>
      <c r="K103" s="48">
        <v>102.6</v>
      </c>
      <c r="L103" s="48">
        <v>104.3</v>
      </c>
      <c r="M103" s="48">
        <v>103.7</v>
      </c>
      <c r="N103" s="48">
        <v>100.9</v>
      </c>
      <c r="O103" s="48">
        <v>100</v>
      </c>
      <c r="P103" s="48">
        <v>99.1</v>
      </c>
      <c r="Q103" s="48">
        <v>99.4</v>
      </c>
      <c r="R103" s="48">
        <v>102</v>
      </c>
      <c r="S103" s="48">
        <v>101.6</v>
      </c>
      <c r="T103" s="48">
        <v>102.3</v>
      </c>
      <c r="U103" s="48">
        <v>103.4</v>
      </c>
      <c r="V103" s="48">
        <v>105.1</v>
      </c>
    </row>
    <row r="104" spans="2:23" x14ac:dyDescent="0.25">
      <c r="B104" s="133" t="s">
        <v>23</v>
      </c>
      <c r="C104" s="112">
        <v>102.6</v>
      </c>
      <c r="D104" s="94">
        <v>3.86</v>
      </c>
      <c r="E104" s="94">
        <v>4.5599999999999996</v>
      </c>
      <c r="F104" s="94">
        <v>15.05</v>
      </c>
      <c r="G104" s="94">
        <v>0.27</v>
      </c>
      <c r="H104" s="94">
        <v>5.47</v>
      </c>
      <c r="I104" s="94">
        <v>1</v>
      </c>
      <c r="K104" s="46">
        <v>3.86</v>
      </c>
      <c r="L104" s="46">
        <v>4.32</v>
      </c>
      <c r="M104" s="46">
        <v>5.8</v>
      </c>
      <c r="N104" s="46">
        <v>5.72</v>
      </c>
      <c r="O104" s="46">
        <v>5.17</v>
      </c>
      <c r="P104" s="46">
        <v>4.45</v>
      </c>
      <c r="Q104" s="46">
        <v>4.3600000000000003</v>
      </c>
      <c r="R104" s="46">
        <v>4.46</v>
      </c>
      <c r="S104" s="46">
        <v>4.5</v>
      </c>
      <c r="T104" s="46">
        <v>5.17</v>
      </c>
      <c r="U104" s="46">
        <v>6.17</v>
      </c>
      <c r="V104" s="46">
        <v>6.02</v>
      </c>
      <c r="W104" s="43"/>
    </row>
    <row r="105" spans="2:23" x14ac:dyDescent="0.25">
      <c r="B105" s="71" t="s">
        <v>24</v>
      </c>
      <c r="C105" s="48">
        <v>104.3</v>
      </c>
      <c r="D105" s="46">
        <v>4.32</v>
      </c>
      <c r="E105" s="46">
        <v>5.18</v>
      </c>
      <c r="F105" s="46">
        <v>16.91</v>
      </c>
      <c r="G105" s="4">
        <v>0.26</v>
      </c>
      <c r="H105" s="46">
        <v>5.56</v>
      </c>
      <c r="I105" s="46">
        <v>1</v>
      </c>
      <c r="K105" s="46">
        <v>4.5599999999999996</v>
      </c>
      <c r="L105" s="46">
        <v>5.18</v>
      </c>
      <c r="M105" s="46">
        <v>6.5</v>
      </c>
      <c r="N105" s="46">
        <v>6.35</v>
      </c>
      <c r="O105" s="46">
        <v>6.15</v>
      </c>
      <c r="P105" s="46">
        <v>5.72</v>
      </c>
      <c r="Q105" s="46">
        <v>5.58</v>
      </c>
      <c r="R105" s="46">
        <v>6</v>
      </c>
      <c r="S105" s="46">
        <v>6.11</v>
      </c>
      <c r="T105" s="46">
        <v>6.56</v>
      </c>
      <c r="U105" s="46">
        <v>7.78</v>
      </c>
      <c r="V105" s="46">
        <v>7.6</v>
      </c>
      <c r="W105" s="7"/>
    </row>
    <row r="106" spans="2:23" x14ac:dyDescent="0.25">
      <c r="B106" s="71" t="s">
        <v>25</v>
      </c>
      <c r="C106" s="48">
        <v>103.7</v>
      </c>
      <c r="D106" s="46">
        <v>5.8</v>
      </c>
      <c r="E106" s="46">
        <v>6.5</v>
      </c>
      <c r="F106" s="46">
        <v>15.95</v>
      </c>
      <c r="G106" s="4">
        <v>0.41</v>
      </c>
      <c r="H106" s="46">
        <v>5.59</v>
      </c>
      <c r="I106" s="46">
        <v>1</v>
      </c>
      <c r="K106" s="46">
        <v>15.05</v>
      </c>
      <c r="L106" s="46">
        <v>16.91</v>
      </c>
      <c r="M106" s="46">
        <v>15.95</v>
      </c>
      <c r="N106" s="46">
        <v>17.23</v>
      </c>
      <c r="O106" s="46">
        <v>17.05</v>
      </c>
      <c r="P106" s="46">
        <v>15.15</v>
      </c>
      <c r="Q106" s="46">
        <v>16.190000000000001</v>
      </c>
      <c r="R106" s="46">
        <v>22.85</v>
      </c>
      <c r="S106" s="46">
        <v>23.89</v>
      </c>
      <c r="T106" s="46">
        <v>21</v>
      </c>
      <c r="U106" s="46">
        <v>19.170000000000002</v>
      </c>
      <c r="V106" s="46">
        <v>22.2</v>
      </c>
      <c r="W106" s="7"/>
    </row>
    <row r="107" spans="2:23" x14ac:dyDescent="0.25">
      <c r="B107" s="71" t="s">
        <v>26</v>
      </c>
      <c r="C107" s="48">
        <v>100.9</v>
      </c>
      <c r="D107" s="46">
        <v>5.72</v>
      </c>
      <c r="E107" s="46">
        <v>6.35</v>
      </c>
      <c r="F107" s="46">
        <v>17.23</v>
      </c>
      <c r="G107" s="4">
        <v>0.32</v>
      </c>
      <c r="H107" s="46">
        <v>5.7</v>
      </c>
      <c r="I107" s="46">
        <v>1</v>
      </c>
      <c r="K107" s="46">
        <v>0.27</v>
      </c>
      <c r="L107" s="4">
        <v>0.26</v>
      </c>
      <c r="M107" s="4">
        <v>0.41</v>
      </c>
      <c r="N107" s="4">
        <v>0.32</v>
      </c>
      <c r="O107" s="4">
        <v>0.28999999999999998</v>
      </c>
      <c r="P107" s="4">
        <v>0.3</v>
      </c>
      <c r="Q107" s="4">
        <v>0.26</v>
      </c>
      <c r="R107" s="4">
        <v>0.35</v>
      </c>
      <c r="S107" s="4">
        <v>0.32</v>
      </c>
      <c r="T107" s="4">
        <v>0.3</v>
      </c>
      <c r="U107" s="4">
        <v>0.32</v>
      </c>
      <c r="V107" s="4">
        <v>0.37</v>
      </c>
      <c r="W107" s="7"/>
    </row>
    <row r="108" spans="2:23" x14ac:dyDescent="0.25">
      <c r="B108" s="71" t="s">
        <v>27</v>
      </c>
      <c r="C108" s="48">
        <v>100</v>
      </c>
      <c r="D108" s="46">
        <v>5.17</v>
      </c>
      <c r="E108" s="46">
        <v>6.15</v>
      </c>
      <c r="F108" s="46">
        <v>17.05</v>
      </c>
      <c r="G108" s="4">
        <v>0.28999999999999998</v>
      </c>
      <c r="H108" s="46">
        <v>5.75</v>
      </c>
      <c r="I108" s="46">
        <v>1</v>
      </c>
      <c r="K108" s="46">
        <v>5.47</v>
      </c>
      <c r="L108" s="46">
        <v>5.56</v>
      </c>
      <c r="M108" s="46">
        <v>5.59</v>
      </c>
      <c r="N108" s="46">
        <v>5.7</v>
      </c>
      <c r="O108" s="46">
        <v>5.75</v>
      </c>
      <c r="P108" s="46">
        <v>5.57</v>
      </c>
      <c r="Q108" s="46">
        <v>5.52</v>
      </c>
      <c r="R108" s="46">
        <v>6.09</v>
      </c>
      <c r="S108" s="46">
        <v>6.64</v>
      </c>
      <c r="T108" s="46">
        <v>6.86</v>
      </c>
      <c r="U108" s="46">
        <v>7.04</v>
      </c>
      <c r="V108" s="46">
        <v>7.47</v>
      </c>
      <c r="W108" s="7"/>
    </row>
    <row r="109" spans="2:23" x14ac:dyDescent="0.25">
      <c r="B109" s="71" t="s">
        <v>28</v>
      </c>
      <c r="C109" s="48">
        <v>99.1</v>
      </c>
      <c r="D109" s="46">
        <v>4.45</v>
      </c>
      <c r="E109" s="46">
        <v>5.72</v>
      </c>
      <c r="F109" s="46">
        <v>15.15</v>
      </c>
      <c r="G109" s="4">
        <v>0.3</v>
      </c>
      <c r="H109" s="46">
        <v>5.57</v>
      </c>
      <c r="I109" s="46">
        <v>1</v>
      </c>
      <c r="K109" s="46">
        <v>1</v>
      </c>
      <c r="L109" s="46">
        <v>1</v>
      </c>
      <c r="M109" s="46">
        <v>1</v>
      </c>
      <c r="N109" s="46">
        <v>1</v>
      </c>
      <c r="O109" s="46">
        <v>1</v>
      </c>
      <c r="P109" s="46">
        <v>1</v>
      </c>
      <c r="Q109" s="46">
        <v>1</v>
      </c>
      <c r="R109" s="46">
        <v>1</v>
      </c>
      <c r="S109" s="46">
        <v>1</v>
      </c>
      <c r="T109" s="46">
        <v>1</v>
      </c>
      <c r="U109" s="46">
        <v>1</v>
      </c>
      <c r="V109" s="46">
        <v>1</v>
      </c>
    </row>
    <row r="110" spans="2:23" x14ac:dyDescent="0.25">
      <c r="B110" s="71" t="s">
        <v>29</v>
      </c>
      <c r="C110" s="48">
        <v>99.4</v>
      </c>
      <c r="D110" s="46">
        <v>4.3600000000000003</v>
      </c>
      <c r="E110" s="46">
        <v>5.58</v>
      </c>
      <c r="F110" s="46">
        <v>16.190000000000001</v>
      </c>
      <c r="G110" s="4">
        <v>0.26</v>
      </c>
      <c r="H110" s="46">
        <v>5.52</v>
      </c>
      <c r="I110" s="46">
        <v>1</v>
      </c>
    </row>
    <row r="111" spans="2:23" x14ac:dyDescent="0.25">
      <c r="B111" s="71" t="s">
        <v>30</v>
      </c>
      <c r="C111" s="48">
        <v>102</v>
      </c>
      <c r="D111" s="46">
        <v>4.46</v>
      </c>
      <c r="E111" s="46">
        <v>6</v>
      </c>
      <c r="F111" s="46">
        <v>22.85</v>
      </c>
      <c r="G111" s="4">
        <v>0.35</v>
      </c>
      <c r="H111" s="46">
        <v>6.09</v>
      </c>
      <c r="I111" s="46">
        <v>1</v>
      </c>
      <c r="K111" s="19"/>
    </row>
    <row r="112" spans="2:23" x14ac:dyDescent="0.25">
      <c r="B112" s="71" t="s">
        <v>31</v>
      </c>
      <c r="C112" s="48">
        <v>101.6</v>
      </c>
      <c r="D112" s="46">
        <v>4.5</v>
      </c>
      <c r="E112" s="46">
        <v>6.11</v>
      </c>
      <c r="F112" s="46">
        <v>23.89</v>
      </c>
      <c r="G112" s="4">
        <v>0.32</v>
      </c>
      <c r="H112" s="46">
        <v>6.64</v>
      </c>
      <c r="I112" s="46">
        <v>1</v>
      </c>
      <c r="K112" s="19"/>
    </row>
    <row r="113" spans="2:28" x14ac:dyDescent="0.25">
      <c r="B113" s="71" t="s">
        <v>32</v>
      </c>
      <c r="C113" s="48">
        <v>102.3</v>
      </c>
      <c r="D113" s="46">
        <v>5.17</v>
      </c>
      <c r="E113" s="46">
        <v>6.56</v>
      </c>
      <c r="F113" s="46">
        <v>21</v>
      </c>
      <c r="G113" s="4">
        <v>0.3</v>
      </c>
      <c r="H113" s="46">
        <v>6.86</v>
      </c>
      <c r="I113" s="46">
        <v>1</v>
      </c>
      <c r="Q113" s="19"/>
    </row>
    <row r="114" spans="2:28" x14ac:dyDescent="0.25">
      <c r="B114" s="71" t="s">
        <v>33</v>
      </c>
      <c r="C114" s="48">
        <v>103.4</v>
      </c>
      <c r="D114" s="46">
        <v>6.17</v>
      </c>
      <c r="E114" s="46">
        <v>7.78</v>
      </c>
      <c r="F114" s="46">
        <v>19.170000000000002</v>
      </c>
      <c r="G114" s="4">
        <v>0.32</v>
      </c>
      <c r="H114" s="46">
        <v>7.04</v>
      </c>
      <c r="I114" s="48">
        <v>1</v>
      </c>
      <c r="J114" s="43"/>
      <c r="K114" s="43"/>
      <c r="L114" s="43"/>
      <c r="M114" s="43"/>
      <c r="Q114" s="43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2:28" x14ac:dyDescent="0.25">
      <c r="B115" s="71" t="s">
        <v>34</v>
      </c>
      <c r="C115" s="48">
        <v>105.1</v>
      </c>
      <c r="D115" s="46">
        <v>6.02</v>
      </c>
      <c r="E115" s="46">
        <v>7.6</v>
      </c>
      <c r="F115" s="46">
        <v>22.2</v>
      </c>
      <c r="G115" s="4">
        <v>0.37</v>
      </c>
      <c r="H115" s="46">
        <v>7.47</v>
      </c>
      <c r="I115" s="46">
        <v>1</v>
      </c>
      <c r="J115" s="7"/>
      <c r="K115" s="7"/>
      <c r="L115" s="7"/>
      <c r="M115" s="7"/>
      <c r="Q115" s="43"/>
      <c r="R115" s="7"/>
      <c r="S115" s="7"/>
      <c r="T115" s="7"/>
      <c r="V115" s="7"/>
      <c r="W115" s="7"/>
      <c r="X115" s="7"/>
      <c r="Y115" s="7"/>
      <c r="Z115" s="7"/>
      <c r="AA115" s="7"/>
      <c r="AB115" s="7"/>
    </row>
    <row r="116" spans="2:28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Q116" s="43"/>
      <c r="R116" s="7"/>
      <c r="S116" s="7"/>
      <c r="T116" s="7"/>
      <c r="V116" s="7"/>
      <c r="W116" s="7"/>
      <c r="X116" s="7"/>
      <c r="Y116" s="7"/>
      <c r="Z116" s="7"/>
      <c r="AA116" s="7"/>
      <c r="AB116" s="7"/>
    </row>
    <row r="117" spans="2:28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Q117" s="43"/>
      <c r="R117" s="7"/>
      <c r="S117" s="7"/>
      <c r="T117" s="7"/>
      <c r="V117" s="7"/>
      <c r="W117" s="7"/>
      <c r="X117" s="7"/>
      <c r="Y117" s="7"/>
      <c r="Z117" s="7"/>
      <c r="AA117" s="7"/>
      <c r="AB117" s="7"/>
    </row>
    <row r="118" spans="2:28" x14ac:dyDescent="0.25">
      <c r="B118" s="91"/>
      <c r="Q118" s="43"/>
      <c r="R118" s="7"/>
      <c r="S118" s="7"/>
      <c r="T118" s="7"/>
      <c r="V118" s="7"/>
      <c r="W118" s="7"/>
      <c r="X118" s="7"/>
      <c r="Y118" s="7"/>
      <c r="Z118" s="7"/>
      <c r="AA118" s="7"/>
      <c r="AB118" s="7"/>
    </row>
    <row r="119" spans="2:28" ht="15.75" thickBot="1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Q119" s="43"/>
      <c r="R119" s="7"/>
      <c r="S119" s="7"/>
      <c r="T119" s="7"/>
      <c r="V119" s="7"/>
      <c r="W119" s="7"/>
      <c r="X119" s="7"/>
      <c r="Y119" s="7"/>
      <c r="Z119" s="7"/>
      <c r="AA119" s="7"/>
      <c r="AB119" s="7"/>
    </row>
    <row r="120" spans="2:28" ht="15.75" thickBot="1" x14ac:dyDescent="0.3">
      <c r="B120" s="93" t="s">
        <v>129</v>
      </c>
      <c r="C120" s="7"/>
      <c r="D120" s="7"/>
      <c r="E120" s="7"/>
      <c r="F120" s="7"/>
      <c r="G120" s="7"/>
      <c r="I120" s="7"/>
      <c r="J120" s="7"/>
      <c r="K120" s="93" t="s">
        <v>78</v>
      </c>
      <c r="L120" s="7"/>
      <c r="Q120" s="43"/>
      <c r="R120" s="7"/>
      <c r="S120" s="7"/>
      <c r="T120" s="7"/>
      <c r="V120" s="7"/>
      <c r="W120" s="7"/>
      <c r="X120" s="7"/>
      <c r="Y120" s="7"/>
      <c r="Z120" s="7"/>
      <c r="AA120" s="7"/>
      <c r="AB120" s="7"/>
    </row>
    <row r="121" spans="2:28" x14ac:dyDescent="0.25">
      <c r="B121" s="92"/>
      <c r="C121" s="47" t="s">
        <v>42</v>
      </c>
      <c r="D121" s="47" t="s">
        <v>43</v>
      </c>
      <c r="E121" s="47" t="s">
        <v>44</v>
      </c>
      <c r="F121" s="47" t="s">
        <v>45</v>
      </c>
      <c r="G121" s="47" t="s">
        <v>46</v>
      </c>
      <c r="J121" s="7"/>
      <c r="K121" s="94">
        <v>1</v>
      </c>
      <c r="L121" s="46">
        <v>1</v>
      </c>
      <c r="M121" s="46">
        <v>1</v>
      </c>
      <c r="N121" s="46">
        <v>1</v>
      </c>
      <c r="O121" s="46">
        <v>1</v>
      </c>
      <c r="P121" s="46">
        <v>1</v>
      </c>
      <c r="Q121" s="46">
        <v>1</v>
      </c>
      <c r="R121" s="46">
        <v>1</v>
      </c>
      <c r="S121" s="46">
        <v>1</v>
      </c>
      <c r="T121" s="46">
        <v>1</v>
      </c>
      <c r="U121" s="46">
        <v>1</v>
      </c>
      <c r="V121" s="46">
        <v>1</v>
      </c>
      <c r="X121" s="7"/>
      <c r="Y121" s="7"/>
      <c r="Z121" s="7"/>
      <c r="AA121" s="7"/>
      <c r="AB121" s="7"/>
    </row>
    <row r="122" spans="2:28" x14ac:dyDescent="0.25">
      <c r="B122" s="46">
        <v>1</v>
      </c>
      <c r="C122" s="46">
        <v>3.86</v>
      </c>
      <c r="D122" s="46">
        <v>4.5599999999999996</v>
      </c>
      <c r="E122" s="46">
        <v>15.05</v>
      </c>
      <c r="F122" s="46">
        <v>0.27</v>
      </c>
      <c r="G122" s="46">
        <v>5.47</v>
      </c>
      <c r="J122" s="7"/>
      <c r="K122" s="46">
        <v>3.86</v>
      </c>
      <c r="L122" s="46">
        <v>4.32</v>
      </c>
      <c r="M122" s="46">
        <v>5.8</v>
      </c>
      <c r="N122" s="46">
        <v>5.72</v>
      </c>
      <c r="O122" s="46">
        <v>5.17</v>
      </c>
      <c r="P122" s="46">
        <v>4.45</v>
      </c>
      <c r="Q122" s="46">
        <v>4.3600000000000003</v>
      </c>
      <c r="R122" s="46">
        <v>4.46</v>
      </c>
      <c r="S122" s="46">
        <v>4.5</v>
      </c>
      <c r="T122" s="46">
        <v>5.17</v>
      </c>
      <c r="U122" s="46">
        <v>6.17</v>
      </c>
      <c r="V122" s="46">
        <v>6.02</v>
      </c>
      <c r="X122" s="7"/>
      <c r="Y122" s="7"/>
      <c r="Z122" s="7"/>
      <c r="AA122" s="7"/>
      <c r="AB122" s="7"/>
    </row>
    <row r="123" spans="2:28" x14ac:dyDescent="0.25">
      <c r="B123" s="46">
        <v>1</v>
      </c>
      <c r="C123" s="46">
        <v>4.32</v>
      </c>
      <c r="D123" s="46">
        <v>5.18</v>
      </c>
      <c r="E123" s="46">
        <v>16.91</v>
      </c>
      <c r="F123" s="4">
        <v>0.26</v>
      </c>
      <c r="G123" s="46">
        <v>5.56</v>
      </c>
      <c r="J123" s="7"/>
      <c r="K123" s="46">
        <v>4.5599999999999996</v>
      </c>
      <c r="L123" s="46">
        <v>5.18</v>
      </c>
      <c r="M123" s="46">
        <v>6.5</v>
      </c>
      <c r="N123" s="46">
        <v>6.35</v>
      </c>
      <c r="O123" s="46">
        <v>6.15</v>
      </c>
      <c r="P123" s="46">
        <v>5.72</v>
      </c>
      <c r="Q123" s="46">
        <v>5.58</v>
      </c>
      <c r="R123" s="46">
        <v>6</v>
      </c>
      <c r="S123" s="46">
        <v>6.11</v>
      </c>
      <c r="T123" s="46">
        <v>6.56</v>
      </c>
      <c r="U123" s="46">
        <v>7.78</v>
      </c>
      <c r="V123" s="46">
        <v>7.6</v>
      </c>
      <c r="X123" s="7"/>
      <c r="Y123" s="7"/>
      <c r="Z123" s="7"/>
      <c r="AA123" s="7"/>
      <c r="AB123" s="7"/>
    </row>
    <row r="124" spans="2:28" x14ac:dyDescent="0.25">
      <c r="B124" s="46">
        <v>1</v>
      </c>
      <c r="C124" s="46">
        <v>5.8</v>
      </c>
      <c r="D124" s="46">
        <v>6.5</v>
      </c>
      <c r="E124" s="46">
        <v>15.95</v>
      </c>
      <c r="F124" s="4">
        <v>0.41</v>
      </c>
      <c r="G124" s="46">
        <v>5.59</v>
      </c>
      <c r="J124" s="7"/>
      <c r="K124" s="46">
        <v>15.05</v>
      </c>
      <c r="L124" s="46">
        <v>16.91</v>
      </c>
      <c r="M124" s="46">
        <v>15.95</v>
      </c>
      <c r="N124" s="46">
        <v>17.23</v>
      </c>
      <c r="O124" s="46">
        <v>17.05</v>
      </c>
      <c r="P124" s="46">
        <v>15.15</v>
      </c>
      <c r="Q124" s="46">
        <v>16.190000000000001</v>
      </c>
      <c r="R124" s="46">
        <v>22.85</v>
      </c>
      <c r="S124" s="46">
        <v>23.89</v>
      </c>
      <c r="T124" s="46">
        <v>21</v>
      </c>
      <c r="U124" s="46">
        <v>19.170000000000002</v>
      </c>
      <c r="V124" s="46">
        <v>22.2</v>
      </c>
      <c r="X124" s="7"/>
      <c r="Y124" s="7"/>
      <c r="Z124" s="7"/>
      <c r="AA124" s="7"/>
      <c r="AB124" s="7"/>
    </row>
    <row r="125" spans="2:28" x14ac:dyDescent="0.25">
      <c r="B125" s="46">
        <v>1</v>
      </c>
      <c r="C125" s="46">
        <v>5.72</v>
      </c>
      <c r="D125" s="46">
        <v>6.35</v>
      </c>
      <c r="E125" s="46">
        <v>17.23</v>
      </c>
      <c r="F125" s="4">
        <v>0.32</v>
      </c>
      <c r="G125" s="46">
        <v>5.7</v>
      </c>
      <c r="J125" s="7"/>
      <c r="K125" s="46">
        <v>0.27</v>
      </c>
      <c r="L125" s="4">
        <v>0.26</v>
      </c>
      <c r="M125" s="4">
        <v>0.41</v>
      </c>
      <c r="N125" s="4">
        <v>0.32</v>
      </c>
      <c r="O125" s="4">
        <v>0.28999999999999998</v>
      </c>
      <c r="P125" s="4">
        <v>0.3</v>
      </c>
      <c r="Q125" s="4">
        <v>0.26</v>
      </c>
      <c r="R125" s="4">
        <v>0.35</v>
      </c>
      <c r="S125" s="4">
        <v>0.32</v>
      </c>
      <c r="T125" s="4">
        <v>0.3</v>
      </c>
      <c r="U125" s="4">
        <v>0.32</v>
      </c>
      <c r="V125" s="4">
        <v>0.37</v>
      </c>
      <c r="X125" s="7"/>
      <c r="Y125" s="7"/>
      <c r="Z125" s="7"/>
      <c r="AA125" s="7"/>
      <c r="AB125" s="7"/>
    </row>
    <row r="126" spans="2:28" x14ac:dyDescent="0.25">
      <c r="B126" s="46">
        <v>1</v>
      </c>
      <c r="C126" s="46">
        <v>5.17</v>
      </c>
      <c r="D126" s="46">
        <v>6.15</v>
      </c>
      <c r="E126" s="46">
        <v>17.05</v>
      </c>
      <c r="F126" s="4">
        <v>0.28999999999999998</v>
      </c>
      <c r="G126" s="46">
        <v>5.75</v>
      </c>
      <c r="K126" s="46">
        <v>5.47</v>
      </c>
      <c r="L126" s="46">
        <v>5.56</v>
      </c>
      <c r="M126" s="46">
        <v>5.59</v>
      </c>
      <c r="N126" s="46">
        <v>5.7</v>
      </c>
      <c r="O126" s="46">
        <v>5.75</v>
      </c>
      <c r="P126" s="46">
        <v>5.57</v>
      </c>
      <c r="Q126" s="46">
        <v>5.52</v>
      </c>
      <c r="R126" s="46">
        <v>6.09</v>
      </c>
      <c r="S126" s="46">
        <v>6.64</v>
      </c>
      <c r="T126" s="46">
        <v>6.86</v>
      </c>
      <c r="U126" s="46">
        <v>7.04</v>
      </c>
      <c r="V126" s="46">
        <v>7.47</v>
      </c>
    </row>
    <row r="127" spans="2:28" x14ac:dyDescent="0.25">
      <c r="B127" s="46">
        <v>1</v>
      </c>
      <c r="C127" s="46">
        <v>4.45</v>
      </c>
      <c r="D127" s="46">
        <v>5.72</v>
      </c>
      <c r="E127" s="46">
        <v>15.15</v>
      </c>
      <c r="F127" s="4">
        <v>0.3</v>
      </c>
      <c r="G127" s="46">
        <v>5.57</v>
      </c>
    </row>
    <row r="128" spans="2:28" ht="15.75" thickBot="1" x14ac:dyDescent="0.3">
      <c r="B128" s="46">
        <v>1</v>
      </c>
      <c r="C128" s="46">
        <v>4.3600000000000003</v>
      </c>
      <c r="D128" s="46">
        <v>5.58</v>
      </c>
      <c r="E128" s="46">
        <v>16.190000000000001</v>
      </c>
      <c r="F128" s="4">
        <v>0.26</v>
      </c>
      <c r="G128" s="46">
        <v>5.52</v>
      </c>
    </row>
    <row r="129" spans="2:20" ht="15.75" thickBot="1" x14ac:dyDescent="0.3">
      <c r="B129" s="46">
        <v>1</v>
      </c>
      <c r="C129" s="46">
        <v>4.46</v>
      </c>
      <c r="D129" s="46">
        <v>6</v>
      </c>
      <c r="E129" s="46">
        <v>22.85</v>
      </c>
      <c r="F129" s="4">
        <v>0.35</v>
      </c>
      <c r="G129" s="46">
        <v>6.09</v>
      </c>
      <c r="K129" s="90" t="s">
        <v>79</v>
      </c>
      <c r="Q129" s="19"/>
    </row>
    <row r="130" spans="2:20" x14ac:dyDescent="0.25">
      <c r="B130" s="46">
        <v>1</v>
      </c>
      <c r="C130" s="46">
        <v>4.5</v>
      </c>
      <c r="D130" s="46">
        <v>6.11</v>
      </c>
      <c r="E130" s="46">
        <v>23.89</v>
      </c>
      <c r="F130" s="4">
        <v>0.32</v>
      </c>
      <c r="G130" s="46">
        <v>6.64</v>
      </c>
      <c r="K130" s="92">
        <f t="array" ref="K130:P135">MMULT(K121:V126,B122:G133)</f>
        <v>12</v>
      </c>
      <c r="L130" s="4">
        <v>60</v>
      </c>
      <c r="M130" s="4">
        <v>74.089999999999989</v>
      </c>
      <c r="N130" s="4">
        <v>222.64</v>
      </c>
      <c r="O130" s="4">
        <v>3.77</v>
      </c>
      <c r="P130" s="4">
        <v>73.260000000000005</v>
      </c>
    </row>
    <row r="131" spans="2:20" x14ac:dyDescent="0.25">
      <c r="B131" s="46">
        <v>1</v>
      </c>
      <c r="C131" s="46">
        <v>5.17</v>
      </c>
      <c r="D131" s="46">
        <v>6.56</v>
      </c>
      <c r="E131" s="46">
        <v>21</v>
      </c>
      <c r="F131" s="4">
        <v>0.3</v>
      </c>
      <c r="G131" s="46">
        <v>6.86</v>
      </c>
      <c r="J131" s="43"/>
      <c r="K131" s="48">
        <v>60</v>
      </c>
      <c r="L131" s="48">
        <v>306.64120000000003</v>
      </c>
      <c r="M131" s="48">
        <v>377.5043</v>
      </c>
      <c r="N131" s="4">
        <v>1118.2731000000001</v>
      </c>
      <c r="O131" s="4">
        <v>19.095499999999998</v>
      </c>
      <c r="P131" s="4">
        <v>369.65440000000007</v>
      </c>
    </row>
    <row r="132" spans="2:20" x14ac:dyDescent="0.25">
      <c r="B132" s="48">
        <v>1</v>
      </c>
      <c r="C132" s="46">
        <v>6.17</v>
      </c>
      <c r="D132" s="46">
        <v>7.78</v>
      </c>
      <c r="E132" s="46">
        <v>19.170000000000002</v>
      </c>
      <c r="F132" s="4">
        <v>0.32</v>
      </c>
      <c r="G132" s="46">
        <v>7.04</v>
      </c>
      <c r="J132" s="7"/>
      <c r="K132" s="46">
        <v>74.089999999999989</v>
      </c>
      <c r="L132" s="46">
        <v>377.5043</v>
      </c>
      <c r="M132" s="46">
        <v>466.5299</v>
      </c>
      <c r="N132" s="4">
        <v>1389.8534999999999</v>
      </c>
      <c r="O132" s="4">
        <v>23.5501</v>
      </c>
      <c r="P132" s="4">
        <v>457.95370000000003</v>
      </c>
    </row>
    <row r="133" spans="2:20" x14ac:dyDescent="0.25">
      <c r="B133" s="46">
        <v>1</v>
      </c>
      <c r="C133" s="46">
        <v>6.02</v>
      </c>
      <c r="D133" s="46">
        <v>7.6</v>
      </c>
      <c r="E133" s="46">
        <v>22.2</v>
      </c>
      <c r="F133" s="4">
        <v>0.37</v>
      </c>
      <c r="G133" s="46">
        <v>7.47</v>
      </c>
      <c r="J133" s="7"/>
      <c r="K133" s="46">
        <v>222.64</v>
      </c>
      <c r="L133" s="46">
        <v>1118.2731000000001</v>
      </c>
      <c r="M133" s="46">
        <v>1389.8534999999999</v>
      </c>
      <c r="N133" s="4">
        <v>4240.2506000000003</v>
      </c>
      <c r="O133" s="4">
        <v>70.502800000000008</v>
      </c>
      <c r="P133" s="4">
        <v>1378.1433</v>
      </c>
    </row>
    <row r="134" spans="2:20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46">
        <v>3.77</v>
      </c>
      <c r="L134" s="46">
        <v>19.095499999999998</v>
      </c>
      <c r="M134" s="46">
        <v>23.5501</v>
      </c>
      <c r="N134" s="4">
        <v>70.502800000000008</v>
      </c>
      <c r="O134" s="4">
        <v>1.2068999999999999</v>
      </c>
      <c r="P134" s="4">
        <v>23.1431</v>
      </c>
    </row>
    <row r="135" spans="2:20" x14ac:dyDescent="0.25">
      <c r="B135" s="7"/>
      <c r="K135" s="4">
        <v>73.260000000000005</v>
      </c>
      <c r="L135" s="4">
        <v>369.65440000000007</v>
      </c>
      <c r="M135" s="4">
        <v>457.95370000000003</v>
      </c>
      <c r="N135" s="4">
        <v>1378.1433</v>
      </c>
      <c r="O135" s="4">
        <v>23.1431</v>
      </c>
      <c r="P135" s="4">
        <v>452.73019999999997</v>
      </c>
    </row>
    <row r="136" spans="2:20" ht="15.75" thickBot="1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 spans="2:20" ht="15.75" thickBot="1" x14ac:dyDescent="0.3">
      <c r="K137" s="90" t="s">
        <v>130</v>
      </c>
      <c r="R137" s="90" t="s">
        <v>80</v>
      </c>
      <c r="T137" s="90" t="s">
        <v>81</v>
      </c>
    </row>
    <row r="138" spans="2:20" x14ac:dyDescent="0.25">
      <c r="K138" s="92">
        <f t="array" ref="K138:P143">MINVERSE(K130:P135)</f>
        <v>11.869397944235411</v>
      </c>
      <c r="L138" s="4">
        <v>-1.6029568967452199</v>
      </c>
      <c r="M138" s="4">
        <v>2.5300897145972865</v>
      </c>
      <c r="N138" s="4">
        <v>0.10081484711344206</v>
      </c>
      <c r="O138" s="4">
        <v>-14.145797662029981</v>
      </c>
      <c r="P138" s="4">
        <v>-2.7549204048062834</v>
      </c>
      <c r="R138" s="92">
        <f t="array" ref="R138:R143">MMULT(K104:V109,C104:C115)</f>
        <v>6128.29</v>
      </c>
      <c r="T138" s="92">
        <f t="array" ref="T138:T143">MMULT(K138:P143,R138:R143)</f>
        <v>8962.1862366732475</v>
      </c>
    </row>
    <row r="139" spans="2:20" x14ac:dyDescent="0.25">
      <c r="B139" s="43"/>
      <c r="C139" s="7"/>
      <c r="D139" s="7"/>
      <c r="E139" s="7"/>
      <c r="G139" s="7"/>
      <c r="K139" s="4">
        <v>-1.6029568967449204</v>
      </c>
      <c r="L139" s="4">
        <v>2.0546040538349484</v>
      </c>
      <c r="M139" s="4">
        <v>-1.863297526713702</v>
      </c>
      <c r="N139" s="4">
        <v>0.1376236420069761</v>
      </c>
      <c r="O139" s="4">
        <v>-4.8473572703117593</v>
      </c>
      <c r="P139" s="4">
        <v>0.29545403409367238</v>
      </c>
      <c r="R139" s="4">
        <v>7566.4749999999995</v>
      </c>
      <c r="T139" s="4">
        <v>-72498.566211026409</v>
      </c>
    </row>
    <row r="140" spans="2:20" x14ac:dyDescent="0.25">
      <c r="B140" t="s">
        <v>82</v>
      </c>
      <c r="K140" s="4">
        <v>2.5300897145970338</v>
      </c>
      <c r="L140" s="4">
        <v>-1.8632975267138001</v>
      </c>
      <c r="M140" s="4">
        <v>2.294086148946707</v>
      </c>
      <c r="N140" s="4">
        <v>-5.4095982580443992E-2</v>
      </c>
      <c r="O140" s="4">
        <v>-0.43903703844070374</v>
      </c>
      <c r="P140" s="4">
        <v>-1.0214710421944631</v>
      </c>
      <c r="R140" s="4">
        <v>22737.638000000003</v>
      </c>
      <c r="T140" s="4">
        <v>49012.132113296015</v>
      </c>
    </row>
    <row r="141" spans="2:20" ht="15.75" thickBot="1" x14ac:dyDescent="0.3">
      <c r="K141" s="4">
        <v>0.10081484711347337</v>
      </c>
      <c r="L141" s="4">
        <v>0.1376236420069521</v>
      </c>
      <c r="M141" s="4">
        <v>-5.4095982580415466E-2</v>
      </c>
      <c r="N141" s="4">
        <v>4.0510858983664057E-2</v>
      </c>
      <c r="O141" s="4">
        <v>-1.0284440056303767</v>
      </c>
      <c r="P141" s="4">
        <v>-0.14470828664062615</v>
      </c>
      <c r="R141" s="4">
        <v>385.07599999999996</v>
      </c>
      <c r="T141" s="4">
        <v>-7427.5051473047915</v>
      </c>
    </row>
    <row r="142" spans="2:20" x14ac:dyDescent="0.25">
      <c r="B142" s="98" t="s">
        <v>83</v>
      </c>
      <c r="C142" s="98"/>
      <c r="K142" s="4">
        <v>-14.145797662031224</v>
      </c>
      <c r="L142" s="4">
        <v>-4.8473572703112033</v>
      </c>
      <c r="M142" s="4">
        <v>-0.43903703844163589</v>
      </c>
      <c r="N142" s="4">
        <v>-1.0284440056304376</v>
      </c>
      <c r="O142" s="4">
        <v>102.13814108913111</v>
      </c>
      <c r="P142" s="4">
        <v>4.6004810790161645</v>
      </c>
      <c r="R142" s="4">
        <v>7482.2329999999993</v>
      </c>
      <c r="T142" s="4">
        <v>636108.54654018255</v>
      </c>
    </row>
    <row r="143" spans="2:20" x14ac:dyDescent="0.25">
      <c r="B143" t="s">
        <v>84</v>
      </c>
      <c r="C143">
        <v>0.77095589958294419</v>
      </c>
      <c r="K143" s="4">
        <v>-2.7549204048063047</v>
      </c>
      <c r="L143" s="4">
        <v>0.29545403409386561</v>
      </c>
      <c r="M143" s="4">
        <v>-1.0214710421946238</v>
      </c>
      <c r="N143" s="4">
        <v>-0.14470828664060867</v>
      </c>
      <c r="O143" s="4">
        <v>4.6004810790152852</v>
      </c>
      <c r="P143" s="4">
        <v>1.4453539666669515</v>
      </c>
      <c r="R143" s="4">
        <v>1224.3999999999999</v>
      </c>
      <c r="T143" s="4">
        <v>-1737.4053359697625</v>
      </c>
    </row>
    <row r="144" spans="2:20" ht="15.75" thickBot="1" x14ac:dyDescent="0.3">
      <c r="B144" t="s">
        <v>85</v>
      </c>
      <c r="C144">
        <v>0.59437299910174679</v>
      </c>
    </row>
    <row r="145" spans="2:20" ht="15.75" thickBot="1" x14ac:dyDescent="0.3">
      <c r="B145" t="s">
        <v>86</v>
      </c>
      <c r="C145">
        <v>0.25635049835320239</v>
      </c>
      <c r="K145" s="192" t="s">
        <v>131</v>
      </c>
      <c r="L145" s="194"/>
      <c r="Q145" s="19"/>
    </row>
    <row r="146" spans="2:20" x14ac:dyDescent="0.25">
      <c r="B146" t="s">
        <v>87</v>
      </c>
      <c r="C146">
        <v>1.659308875033159</v>
      </c>
    </row>
    <row r="147" spans="2:20" ht="15.75" thickBot="1" x14ac:dyDescent="0.3">
      <c r="B147" s="42" t="s">
        <v>88</v>
      </c>
      <c r="C147" s="42">
        <v>12</v>
      </c>
    </row>
    <row r="149" spans="2:20" ht="15.75" thickBot="1" x14ac:dyDescent="0.3">
      <c r="B149" t="s">
        <v>89</v>
      </c>
    </row>
    <row r="150" spans="2:20" ht="15.75" thickBot="1" x14ac:dyDescent="0.3">
      <c r="B150" s="97"/>
      <c r="C150" s="97" t="s">
        <v>94</v>
      </c>
      <c r="D150" s="97" t="s">
        <v>95</v>
      </c>
      <c r="E150" s="97" t="s">
        <v>96</v>
      </c>
      <c r="F150" s="97" t="s">
        <v>97</v>
      </c>
      <c r="G150" s="97" t="s">
        <v>98</v>
      </c>
      <c r="M150" s="192" t="s">
        <v>132</v>
      </c>
      <c r="N150" s="193"/>
      <c r="O150" s="193"/>
      <c r="P150" s="193"/>
      <c r="Q150" s="193"/>
      <c r="R150" s="193"/>
      <c r="S150" s="193"/>
      <c r="T150" s="194"/>
    </row>
    <row r="151" spans="2:20" ht="15.75" thickBot="1" x14ac:dyDescent="0.3">
      <c r="B151" t="s">
        <v>90</v>
      </c>
      <c r="C151">
        <v>5</v>
      </c>
      <c r="D151">
        <v>24.206831010083786</v>
      </c>
      <c r="E151">
        <v>4.8413662020167569</v>
      </c>
      <c r="F151">
        <v>1.7583829413294059</v>
      </c>
      <c r="G151">
        <v>0.25538738414179929</v>
      </c>
    </row>
    <row r="152" spans="2:20" x14ac:dyDescent="0.25">
      <c r="B152" t="s">
        <v>91</v>
      </c>
      <c r="C152">
        <v>6</v>
      </c>
      <c r="D152">
        <v>16.519835656582845</v>
      </c>
      <c r="E152">
        <v>2.7533059427638076</v>
      </c>
      <c r="M152" s="98" t="s">
        <v>83</v>
      </c>
      <c r="N152" s="98"/>
      <c r="P152" s="108" t="s">
        <v>115</v>
      </c>
      <c r="Q152" s="109">
        <v>5</v>
      </c>
      <c r="S152" s="72" t="s">
        <v>134</v>
      </c>
      <c r="T152" s="103">
        <v>0.05</v>
      </c>
    </row>
    <row r="153" spans="2:20" ht="15.75" thickBot="1" x14ac:dyDescent="0.3">
      <c r="B153" s="42" t="s">
        <v>92</v>
      </c>
      <c r="C153" s="42">
        <v>11</v>
      </c>
      <c r="D153" s="42">
        <v>40.726666666666631</v>
      </c>
      <c r="E153" s="42"/>
      <c r="F153" s="42"/>
      <c r="G153" s="42"/>
      <c r="M153" t="s">
        <v>84</v>
      </c>
      <c r="N153">
        <v>0.77095589958294419</v>
      </c>
      <c r="P153" s="110" t="s">
        <v>116</v>
      </c>
      <c r="Q153" s="23">
        <v>12</v>
      </c>
      <c r="S153" s="104" t="s">
        <v>135</v>
      </c>
      <c r="T153" s="105">
        <v>5</v>
      </c>
    </row>
    <row r="154" spans="2:20" ht="15.75" thickBot="1" x14ac:dyDescent="0.3">
      <c r="M154" t="s">
        <v>85</v>
      </c>
      <c r="N154">
        <v>0.59437299910174679</v>
      </c>
      <c r="S154" s="106" t="s">
        <v>136</v>
      </c>
      <c r="T154" s="107">
        <v>6</v>
      </c>
    </row>
    <row r="155" spans="2:20" ht="15.75" thickBot="1" x14ac:dyDescent="0.3">
      <c r="B155" s="97"/>
      <c r="C155" s="97" t="s">
        <v>99</v>
      </c>
      <c r="D155" s="97" t="s">
        <v>87</v>
      </c>
      <c r="E155" s="97" t="s">
        <v>100</v>
      </c>
      <c r="F155" s="97" t="s">
        <v>101</v>
      </c>
      <c r="G155" s="97" t="s">
        <v>102</v>
      </c>
      <c r="H155" s="97" t="s">
        <v>103</v>
      </c>
      <c r="I155" s="97" t="s">
        <v>104</v>
      </c>
      <c r="J155" s="97" t="s">
        <v>105</v>
      </c>
      <c r="M155" t="s">
        <v>86</v>
      </c>
      <c r="N155">
        <v>0.25635049835320239</v>
      </c>
    </row>
    <row r="156" spans="2:20" ht="15.75" thickBot="1" x14ac:dyDescent="0.3">
      <c r="B156" t="s">
        <v>93</v>
      </c>
      <c r="C156">
        <v>85.494648396571463</v>
      </c>
      <c r="D156">
        <v>5.7166497091293307</v>
      </c>
      <c r="E156">
        <v>14.955376443660503</v>
      </c>
      <c r="F156">
        <v>5.6276927265699249E-6</v>
      </c>
      <c r="G156">
        <v>71.506510474458466</v>
      </c>
      <c r="H156">
        <v>99.482786318684461</v>
      </c>
      <c r="I156">
        <v>71.506510474458466</v>
      </c>
      <c r="J156">
        <v>99.482786318684461</v>
      </c>
      <c r="M156" t="s">
        <v>87</v>
      </c>
      <c r="N156">
        <v>1.659308875033159</v>
      </c>
      <c r="P156" s="24" t="s">
        <v>133</v>
      </c>
      <c r="Q156" s="102">
        <f>(N154/Q152)/((1-N154)/(Q153-Q152-1))</f>
        <v>1.7583829413294061</v>
      </c>
      <c r="S156" s="24" t="s">
        <v>97</v>
      </c>
      <c r="T156" s="102">
        <f>_xlfn.F.INV(T152,T153,T154)</f>
        <v>0.20200844599812523</v>
      </c>
    </row>
    <row r="157" spans="2:20" ht="15.75" thickBot="1" x14ac:dyDescent="0.3">
      <c r="B157" t="s">
        <v>106</v>
      </c>
      <c r="C157">
        <v>3.2464271130887097</v>
      </c>
      <c r="D157">
        <v>2.3784351055791007</v>
      </c>
      <c r="E157">
        <v>1.3649424806561079</v>
      </c>
      <c r="F157">
        <v>0.22123684570170035</v>
      </c>
      <c r="G157">
        <v>-2.5733939339320289</v>
      </c>
      <c r="H157">
        <v>9.0662481601094491</v>
      </c>
      <c r="I157">
        <v>-2.5733939339320289</v>
      </c>
      <c r="J157">
        <v>9.0662481601094491</v>
      </c>
      <c r="M157" s="42" t="s">
        <v>88</v>
      </c>
      <c r="N157" s="42">
        <v>12</v>
      </c>
    </row>
    <row r="158" spans="2:20" x14ac:dyDescent="0.25">
      <c r="B158" t="s">
        <v>107</v>
      </c>
      <c r="C158">
        <v>-4.8020958156139431</v>
      </c>
      <c r="D158">
        <v>2.5132292030587595</v>
      </c>
      <c r="E158">
        <v>-1.9107273661190503</v>
      </c>
      <c r="F158">
        <v>0.10460237231802703</v>
      </c>
      <c r="G158">
        <v>-10.951746137222049</v>
      </c>
      <c r="H158">
        <v>1.3475545059941627</v>
      </c>
      <c r="I158">
        <v>-10.951746137222049</v>
      </c>
      <c r="J158">
        <v>1.3475545059941627</v>
      </c>
    </row>
    <row r="159" spans="2:20" x14ac:dyDescent="0.25">
      <c r="B159" t="s">
        <v>108</v>
      </c>
      <c r="C159">
        <v>-0.12958686310136078</v>
      </c>
      <c r="D159">
        <v>0.33397423371600166</v>
      </c>
      <c r="E159">
        <v>-0.38801455327705392</v>
      </c>
      <c r="F159">
        <v>0.71139798240021801</v>
      </c>
      <c r="G159">
        <v>-0.94679237355810519</v>
      </c>
      <c r="H159">
        <v>0.68761864735538358</v>
      </c>
      <c r="I159">
        <v>-0.94679237355810519</v>
      </c>
      <c r="J159">
        <v>0.68761864735538358</v>
      </c>
    </row>
    <row r="160" spans="2:20" x14ac:dyDescent="0.25">
      <c r="B160" t="s">
        <v>109</v>
      </c>
      <c r="C160">
        <v>20.342141124576838</v>
      </c>
      <c r="D160">
        <v>16.769542356413488</v>
      </c>
      <c r="E160">
        <v>1.2130409221809808</v>
      </c>
      <c r="F160">
        <v>0.27069994855150897</v>
      </c>
      <c r="G160">
        <v>-20.69145080560887</v>
      </c>
      <c r="H160">
        <v>61.375733054762549</v>
      </c>
      <c r="I160">
        <v>-20.69145080560887</v>
      </c>
      <c r="J160">
        <v>61.375733054762549</v>
      </c>
      <c r="Q160" s="19"/>
      <c r="S160" s="19"/>
    </row>
    <row r="161" spans="2:31" ht="15.75" thickBot="1" x14ac:dyDescent="0.3">
      <c r="B161" s="42" t="s">
        <v>110</v>
      </c>
      <c r="C161" s="42">
        <v>4.2537157875496705</v>
      </c>
      <c r="D161" s="42">
        <v>1.9948688342396845</v>
      </c>
      <c r="E161" s="42">
        <v>2.1323285594217589</v>
      </c>
      <c r="F161" s="42">
        <v>7.6961427319326439E-2</v>
      </c>
      <c r="G161" s="42">
        <v>-0.62755240443116378</v>
      </c>
      <c r="H161" s="42">
        <v>9.1349839795305048</v>
      </c>
      <c r="I161" s="42">
        <v>-0.62755240443116378</v>
      </c>
      <c r="J161" s="42">
        <v>9.1349839795305048</v>
      </c>
      <c r="K161" s="100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</row>
    <row r="165" spans="2:31" x14ac:dyDescent="0.25">
      <c r="B165" t="s">
        <v>111</v>
      </c>
    </row>
    <row r="166" spans="2:31" ht="15.75" thickBot="1" x14ac:dyDescent="0.3"/>
    <row r="167" spans="2:31" x14ac:dyDescent="0.25">
      <c r="B167" s="97" t="s">
        <v>112</v>
      </c>
      <c r="C167" s="97" t="s">
        <v>113</v>
      </c>
      <c r="D167" s="97" t="s">
        <v>114</v>
      </c>
    </row>
    <row r="168" spans="2:31" x14ac:dyDescent="0.25">
      <c r="B168">
        <v>1</v>
      </c>
      <c r="C168">
        <v>102.93822130575127</v>
      </c>
      <c r="D168">
        <v>-0.33822130575127574</v>
      </c>
    </row>
    <row r="169" spans="2:31" x14ac:dyDescent="0.25">
      <c r="B169">
        <v>2</v>
      </c>
      <c r="C169">
        <v>101.3926598163566</v>
      </c>
      <c r="D169">
        <v>2.9073401836433987</v>
      </c>
    </row>
    <row r="170" spans="2:31" x14ac:dyDescent="0.25">
      <c r="B170">
        <v>3</v>
      </c>
      <c r="C170">
        <v>103.16194149800781</v>
      </c>
      <c r="D170">
        <v>0.53805850199219662</v>
      </c>
    </row>
    <row r="171" spans="2:31" x14ac:dyDescent="0.25">
      <c r="B171">
        <v>4</v>
      </c>
      <c r="C171">
        <v>102.0937865519516</v>
      </c>
      <c r="D171">
        <v>-1.1937865519515896</v>
      </c>
    </row>
    <row r="172" spans="2:31" x14ac:dyDescent="0.25">
      <c r="B172">
        <v>5</v>
      </c>
      <c r="C172">
        <v>100.89441799387401</v>
      </c>
      <c r="D172">
        <v>-0.89441799387401488</v>
      </c>
    </row>
    <row r="173" spans="2:31" x14ac:dyDescent="0.25">
      <c r="B173">
        <v>6</v>
      </c>
      <c r="C173">
        <v>100.30585928254357</v>
      </c>
      <c r="D173">
        <v>-1.205859282543571</v>
      </c>
    </row>
    <row r="174" spans="2:31" x14ac:dyDescent="0.25">
      <c r="B174">
        <v>7</v>
      </c>
      <c r="C174">
        <v>99.524832484565565</v>
      </c>
      <c r="D174">
        <v>-0.12483248456555884</v>
      </c>
    </row>
    <row r="175" spans="2:31" x14ac:dyDescent="0.25">
      <c r="B175">
        <v>8</v>
      </c>
      <c r="C175">
        <v>101.22495714517675</v>
      </c>
      <c r="D175">
        <v>0.77504285482325486</v>
      </c>
    </row>
    <row r="176" spans="2:31" x14ac:dyDescent="0.25">
      <c r="B176">
        <v>9</v>
      </c>
      <c r="C176">
        <v>102.42109280177236</v>
      </c>
      <c r="D176">
        <v>-0.82109280177236599</v>
      </c>
    </row>
    <row r="177" spans="2:18" x14ac:dyDescent="0.25">
      <c r="B177">
        <v>10</v>
      </c>
      <c r="C177">
        <v>103.33873653564784</v>
      </c>
      <c r="D177">
        <v>-1.0387365356478426</v>
      </c>
    </row>
    <row r="178" spans="2:18" x14ac:dyDescent="0.25">
      <c r="B178">
        <v>11</v>
      </c>
      <c r="C178">
        <v>102.13626237741349</v>
      </c>
      <c r="D178">
        <v>1.2637376225865182</v>
      </c>
    </row>
    <row r="179" spans="2:18" ht="15.75" thickBot="1" x14ac:dyDescent="0.3">
      <c r="B179" s="42">
        <v>12</v>
      </c>
      <c r="C179" s="42">
        <v>104.96723220693877</v>
      </c>
      <c r="D179" s="42">
        <v>0.13276779306121966</v>
      </c>
    </row>
    <row r="181" spans="2:18" ht="15.75" thickBot="1" x14ac:dyDescent="0.3"/>
    <row r="182" spans="2:18" x14ac:dyDescent="0.25">
      <c r="B182" s="97" t="s">
        <v>112</v>
      </c>
      <c r="C182" s="97" t="s">
        <v>114</v>
      </c>
      <c r="N182" s="97" t="s">
        <v>112</v>
      </c>
      <c r="O182" s="97" t="s">
        <v>114</v>
      </c>
      <c r="Q182" s="19"/>
    </row>
    <row r="183" spans="2:18" x14ac:dyDescent="0.25">
      <c r="B183">
        <v>1</v>
      </c>
      <c r="C183">
        <v>-0.33822130575127574</v>
      </c>
      <c r="N183">
        <v>1</v>
      </c>
      <c r="O183">
        <v>-1.205859282543571</v>
      </c>
    </row>
    <row r="184" spans="2:18" x14ac:dyDescent="0.25">
      <c r="B184">
        <v>2</v>
      </c>
      <c r="C184">
        <v>2.9073401836433987</v>
      </c>
      <c r="N184">
        <v>2</v>
      </c>
      <c r="O184">
        <v>-1.1937865519515896</v>
      </c>
    </row>
    <row r="185" spans="2:18" x14ac:dyDescent="0.25">
      <c r="B185">
        <v>3</v>
      </c>
      <c r="C185">
        <v>0.53805850199219662</v>
      </c>
      <c r="N185">
        <v>3</v>
      </c>
      <c r="O185">
        <v>-1.0387365356478426</v>
      </c>
    </row>
    <row r="186" spans="2:18" x14ac:dyDescent="0.25">
      <c r="B186">
        <v>4</v>
      </c>
      <c r="C186">
        <v>-1.1937865519515896</v>
      </c>
      <c r="N186">
        <v>4</v>
      </c>
      <c r="O186">
        <v>-0.89441799387401488</v>
      </c>
    </row>
    <row r="187" spans="2:18" x14ac:dyDescent="0.25">
      <c r="B187">
        <v>5</v>
      </c>
      <c r="C187">
        <v>-0.89441799387401488</v>
      </c>
      <c r="N187">
        <v>5</v>
      </c>
      <c r="O187">
        <v>-0.82109280177236599</v>
      </c>
    </row>
    <row r="188" spans="2:18" x14ac:dyDescent="0.25">
      <c r="B188">
        <v>6</v>
      </c>
      <c r="C188">
        <v>-1.205859282543571</v>
      </c>
      <c r="N188">
        <v>6</v>
      </c>
      <c r="O188">
        <v>-0.33822130575127574</v>
      </c>
    </row>
    <row r="189" spans="2:18" x14ac:dyDescent="0.25">
      <c r="B189">
        <v>7</v>
      </c>
      <c r="C189">
        <v>-0.12483248456555884</v>
      </c>
      <c r="N189">
        <v>7</v>
      </c>
      <c r="O189">
        <v>-0.12483248456555884</v>
      </c>
      <c r="Q189" s="19"/>
    </row>
    <row r="190" spans="2:18" x14ac:dyDescent="0.25">
      <c r="B190">
        <v>8</v>
      </c>
      <c r="C190">
        <v>0.77504285482325486</v>
      </c>
      <c r="N190">
        <v>8</v>
      </c>
      <c r="O190">
        <v>0.13276779306121966</v>
      </c>
    </row>
    <row r="191" spans="2:18" x14ac:dyDescent="0.25">
      <c r="B191">
        <v>9</v>
      </c>
      <c r="C191">
        <v>-0.82109280177236599</v>
      </c>
      <c r="N191">
        <v>9</v>
      </c>
      <c r="O191">
        <v>0.53805850199219662</v>
      </c>
    </row>
    <row r="192" spans="2:18" x14ac:dyDescent="0.25">
      <c r="B192">
        <v>10</v>
      </c>
      <c r="C192">
        <v>-1.0387365356478426</v>
      </c>
      <c r="N192">
        <v>10</v>
      </c>
      <c r="O192">
        <v>0.77504285482325486</v>
      </c>
      <c r="Q192" s="99"/>
      <c r="R192" s="99"/>
    </row>
    <row r="193" spans="2:22" x14ac:dyDescent="0.25">
      <c r="B193">
        <v>11</v>
      </c>
      <c r="C193">
        <v>1.2637376225865182</v>
      </c>
      <c r="N193">
        <v>11</v>
      </c>
      <c r="O193">
        <v>1.2637376225865182</v>
      </c>
    </row>
    <row r="194" spans="2:22" ht="15.75" thickBot="1" x14ac:dyDescent="0.3">
      <c r="B194" s="42">
        <v>12</v>
      </c>
      <c r="C194" s="42">
        <v>0.13276779306121966</v>
      </c>
      <c r="N194" s="42">
        <v>12</v>
      </c>
      <c r="O194" s="42">
        <v>2.9073401836433987</v>
      </c>
    </row>
    <row r="197" spans="2:22" ht="15.75" thickBot="1" x14ac:dyDescent="0.3"/>
    <row r="198" spans="2:22" ht="15.75" thickBot="1" x14ac:dyDescent="0.3">
      <c r="B198" s="192" t="s">
        <v>137</v>
      </c>
      <c r="C198" s="193"/>
      <c r="D198" s="193"/>
      <c r="E198" s="193"/>
      <c r="F198" s="193"/>
      <c r="G198" s="193"/>
      <c r="H198" s="193"/>
      <c r="I198" s="193"/>
      <c r="J198" s="193"/>
      <c r="K198" s="193"/>
      <c r="L198" s="193"/>
      <c r="M198" s="194"/>
      <c r="T198" s="192" t="s">
        <v>138</v>
      </c>
      <c r="U198" s="193"/>
      <c r="V198" s="194"/>
    </row>
    <row r="199" spans="2:22" ht="15.75" thickBot="1" x14ac:dyDescent="0.3"/>
    <row r="200" spans="2:22" ht="15.75" thickBot="1" x14ac:dyDescent="0.3">
      <c r="B200" s="86" t="s">
        <v>117</v>
      </c>
      <c r="C200" s="86" t="s">
        <v>41</v>
      </c>
      <c r="D200" s="113" t="s">
        <v>42</v>
      </c>
      <c r="E200" s="113" t="s">
        <v>43</v>
      </c>
      <c r="F200" s="113" t="s">
        <v>44</v>
      </c>
      <c r="G200" s="113" t="s">
        <v>45</v>
      </c>
      <c r="H200" s="114" t="s">
        <v>46</v>
      </c>
      <c r="I200" s="138" t="s">
        <v>118</v>
      </c>
      <c r="J200" s="139" t="s">
        <v>119</v>
      </c>
      <c r="K200" s="200"/>
      <c r="L200" s="200"/>
      <c r="M200" s="4"/>
      <c r="N200" s="4"/>
      <c r="O200" s="4"/>
      <c r="Q200" s="137" t="s">
        <v>81</v>
      </c>
      <c r="U200" s="144">
        <f>C146/AVERAGE(C201:C212)</f>
        <v>1.6262419552758832E-2</v>
      </c>
    </row>
    <row r="201" spans="2:22" x14ac:dyDescent="0.25">
      <c r="B201" s="92">
        <v>1</v>
      </c>
      <c r="C201" s="112">
        <v>102.6</v>
      </c>
      <c r="D201" s="94">
        <v>3.86</v>
      </c>
      <c r="E201" s="94">
        <v>4.5599999999999996</v>
      </c>
      <c r="F201" s="94">
        <v>15.05</v>
      </c>
      <c r="G201" s="94">
        <v>0.27</v>
      </c>
      <c r="H201" s="94">
        <v>5.47</v>
      </c>
      <c r="I201" s="92">
        <f>$Q$201+$Q$202*D201+$Q$203*E201+$Q$204*F201+$Q$205*G201+$Q$206*H201</f>
        <v>3074.791009898725</v>
      </c>
      <c r="J201" s="140">
        <f>C201-I201</f>
        <v>-2972.191009898725</v>
      </c>
      <c r="K201" s="199">
        <f>J201^2</f>
        <v>8833919.3993228022</v>
      </c>
      <c r="L201" s="199"/>
      <c r="M201" s="48">
        <f>(C201-AVERAGE($C$201:$C$212))^2</f>
        <v>0.32111111111112295</v>
      </c>
      <c r="N201" s="207">
        <f>(I201-AVERAGE($I$201:$I$212))^2</f>
        <v>6574609.7154622581</v>
      </c>
      <c r="O201" s="207"/>
      <c r="Q201" s="92">
        <v>8962.1862366732475</v>
      </c>
    </row>
    <row r="202" spans="2:22" x14ac:dyDescent="0.25">
      <c r="B202" s="4">
        <f>B201+1</f>
        <v>2</v>
      </c>
      <c r="C202" s="48">
        <v>104.3</v>
      </c>
      <c r="D202" s="46">
        <v>4.32</v>
      </c>
      <c r="E202" s="46">
        <v>5.18</v>
      </c>
      <c r="F202" s="46">
        <v>16.91</v>
      </c>
      <c r="G202" s="4">
        <v>0.26</v>
      </c>
      <c r="H202" s="46">
        <v>5.56</v>
      </c>
      <c r="I202" s="4">
        <f t="shared" ref="I202:I212" si="2">$Q$201+$Q$202*D202+$Q$203*E202+$Q$204*F202+$Q$205*G202+$Q$206*H202</f>
        <v>-20219.639056555934</v>
      </c>
      <c r="J202" s="141">
        <f t="shared" ref="J202:J212" si="3">C202-I202</f>
        <v>20323.939056555933</v>
      </c>
      <c r="K202" s="199">
        <f t="shared" ref="K202:K212" si="4">J202^2</f>
        <v>413062498.77459967</v>
      </c>
      <c r="L202" s="199"/>
      <c r="M202" s="48">
        <f t="shared" ref="M202:M212" si="5">(C202-AVERAGE($C$201:$C$212))^2</f>
        <v>5.1377777777778375</v>
      </c>
      <c r="N202" s="207">
        <f t="shared" ref="N202:N212" si="6">(I202-AVERAGE($I$201:$I$212))^2</f>
        <v>429746577.34363973</v>
      </c>
      <c r="O202" s="207"/>
      <c r="Q202" s="4">
        <v>-72498.566211026409</v>
      </c>
    </row>
    <row r="203" spans="2:22" x14ac:dyDescent="0.25">
      <c r="B203" s="4">
        <f t="shared" ref="B203:B212" si="7">B202+1</f>
        <v>3</v>
      </c>
      <c r="C203" s="48">
        <v>103.7</v>
      </c>
      <c r="D203" s="46">
        <v>5.8</v>
      </c>
      <c r="E203" s="46">
        <v>6.5</v>
      </c>
      <c r="F203" s="46">
        <v>15.95</v>
      </c>
      <c r="G203" s="4">
        <v>0.41</v>
      </c>
      <c r="H203" s="46">
        <v>5.59</v>
      </c>
      <c r="I203" s="4">
        <f t="shared" si="2"/>
        <v>39673.062103036675</v>
      </c>
      <c r="J203" s="141">
        <f t="shared" si="3"/>
        <v>-39569.362103036678</v>
      </c>
      <c r="K203" s="199">
        <f t="shared" si="4"/>
        <v>1565734417.2412353</v>
      </c>
      <c r="L203" s="199"/>
      <c r="M203" s="48">
        <f t="shared" si="5"/>
        <v>2.7777777777778407</v>
      </c>
      <c r="N203" s="207">
        <f t="shared" si="6"/>
        <v>1533691323.4660795</v>
      </c>
      <c r="O203" s="207"/>
      <c r="Q203" s="4">
        <v>49012.132113296015</v>
      </c>
    </row>
    <row r="204" spans="2:22" x14ac:dyDescent="0.25">
      <c r="B204" s="4">
        <f t="shared" si="7"/>
        <v>4</v>
      </c>
      <c r="C204" s="48">
        <v>100.9</v>
      </c>
      <c r="D204" s="46">
        <v>5.72</v>
      </c>
      <c r="E204" s="46">
        <v>6.35</v>
      </c>
      <c r="F204" s="46">
        <v>17.23</v>
      </c>
      <c r="G204" s="4">
        <v>0.32</v>
      </c>
      <c r="H204" s="46">
        <v>5.7</v>
      </c>
      <c r="I204" s="4">
        <f t="shared" si="2"/>
        <v>-28826.962781198836</v>
      </c>
      <c r="J204" s="141">
        <f t="shared" si="3"/>
        <v>28927.862781198837</v>
      </c>
      <c r="K204" s="199">
        <f t="shared" si="4"/>
        <v>836821245.08786893</v>
      </c>
      <c r="L204" s="199"/>
      <c r="M204" s="48">
        <f t="shared" si="5"/>
        <v>1.284444444444395</v>
      </c>
      <c r="N204" s="207">
        <f t="shared" si="6"/>
        <v>860697919.60627723</v>
      </c>
      <c r="O204" s="207"/>
      <c r="Q204" s="4">
        <v>-7427.5051473047915</v>
      </c>
    </row>
    <row r="205" spans="2:22" x14ac:dyDescent="0.25">
      <c r="B205" s="4">
        <f t="shared" si="7"/>
        <v>5</v>
      </c>
      <c r="C205" s="48">
        <v>100</v>
      </c>
      <c r="D205" s="46">
        <v>5.17</v>
      </c>
      <c r="E205" s="46">
        <v>6.15</v>
      </c>
      <c r="F205" s="46">
        <v>17.05</v>
      </c>
      <c r="G205" s="4">
        <v>0.28999999999999998</v>
      </c>
      <c r="H205" s="46">
        <v>5.75</v>
      </c>
      <c r="I205" s="4">
        <f t="shared" si="2"/>
        <v>-16588.353524282691</v>
      </c>
      <c r="J205" s="141">
        <f t="shared" si="3"/>
        <v>16688.353524282691</v>
      </c>
      <c r="K205" s="199">
        <f t="shared" si="4"/>
        <v>278501143.35143852</v>
      </c>
      <c r="L205" s="199"/>
      <c r="M205" s="48">
        <f t="shared" si="5"/>
        <v>4.1344444444443793</v>
      </c>
      <c r="N205" s="207">
        <f t="shared" si="6"/>
        <v>292377317.94372314</v>
      </c>
      <c r="O205" s="207"/>
      <c r="Q205" s="4">
        <v>636108.54654018255</v>
      </c>
    </row>
    <row r="206" spans="2:22" x14ac:dyDescent="0.25">
      <c r="B206" s="4">
        <f t="shared" si="7"/>
        <v>6</v>
      </c>
      <c r="C206" s="48">
        <v>99.1</v>
      </c>
      <c r="D206" s="46">
        <v>4.45</v>
      </c>
      <c r="E206" s="46">
        <v>5.72</v>
      </c>
      <c r="F206" s="46">
        <v>15.15</v>
      </c>
      <c r="G206" s="4">
        <v>0.3</v>
      </c>
      <c r="H206" s="46">
        <v>5.57</v>
      </c>
      <c r="I206" s="4">
        <f t="shared" si="2"/>
        <v>35321.475544694513</v>
      </c>
      <c r="J206" s="141">
        <f t="shared" si="3"/>
        <v>-35222.375544694514</v>
      </c>
      <c r="K206" s="199">
        <f t="shared" si="4"/>
        <v>1240615739.0114942</v>
      </c>
      <c r="L206" s="199"/>
      <c r="M206" s="48">
        <f t="shared" si="5"/>
        <v>8.6044444444443826</v>
      </c>
      <c r="N206" s="207">
        <f t="shared" si="6"/>
        <v>1211790732.2207315</v>
      </c>
      <c r="O206" s="207"/>
      <c r="Q206" s="4">
        <v>-1737.4053359697625</v>
      </c>
    </row>
    <row r="207" spans="2:22" x14ac:dyDescent="0.25">
      <c r="B207" s="4">
        <f t="shared" si="7"/>
        <v>7</v>
      </c>
      <c r="C207" s="48">
        <v>99.4</v>
      </c>
      <c r="D207" s="46">
        <v>4.3600000000000003</v>
      </c>
      <c r="E207" s="46">
        <v>5.58</v>
      </c>
      <c r="F207" s="46">
        <v>16.190000000000001</v>
      </c>
      <c r="G207" s="4">
        <v>0.26</v>
      </c>
      <c r="H207" s="46">
        <v>5.52</v>
      </c>
      <c r="I207" s="4">
        <f t="shared" si="2"/>
        <v>1902.5710598196674</v>
      </c>
      <c r="J207" s="141">
        <f t="shared" si="3"/>
        <v>-1803.1710598196673</v>
      </c>
      <c r="K207" s="199">
        <f t="shared" si="4"/>
        <v>3251425.8709711824</v>
      </c>
      <c r="L207" s="199"/>
      <c r="M207" s="48">
        <f t="shared" si="5"/>
        <v>6.9344444444443294</v>
      </c>
      <c r="N207" s="207">
        <f t="shared" si="6"/>
        <v>1937330.564883424</v>
      </c>
      <c r="O207" s="207"/>
    </row>
    <row r="208" spans="2:22" x14ac:dyDescent="0.25">
      <c r="B208" s="4">
        <f t="shared" si="7"/>
        <v>8</v>
      </c>
      <c r="C208" s="48">
        <v>102</v>
      </c>
      <c r="D208" s="46">
        <v>4.46</v>
      </c>
      <c r="E208" s="46">
        <v>6</v>
      </c>
      <c r="F208" s="46">
        <v>22.85</v>
      </c>
      <c r="G208" s="4">
        <v>0.35</v>
      </c>
      <c r="H208" s="46">
        <v>6.09</v>
      </c>
      <c r="I208" s="4">
        <f t="shared" si="2"/>
        <v>22030.073792365118</v>
      </c>
      <c r="J208" s="141">
        <f t="shared" si="3"/>
        <v>-21928.073792365118</v>
      </c>
      <c r="K208" s="199">
        <f t="shared" si="4"/>
        <v>480840420.24340993</v>
      </c>
      <c r="L208" s="199"/>
      <c r="M208" s="48">
        <f t="shared" si="5"/>
        <v>1.1111111111100373E-3</v>
      </c>
      <c r="N208" s="207">
        <f t="shared" si="6"/>
        <v>463083842.93746406</v>
      </c>
      <c r="O208" s="207"/>
    </row>
    <row r="209" spans="2:25" x14ac:dyDescent="0.25">
      <c r="B209" s="4">
        <f t="shared" si="7"/>
        <v>9</v>
      </c>
      <c r="C209" s="48">
        <v>101.6</v>
      </c>
      <c r="D209" s="46">
        <v>4.5</v>
      </c>
      <c r="E209" s="46">
        <v>6.11</v>
      </c>
      <c r="F209" s="46">
        <v>23.89</v>
      </c>
      <c r="G209" s="4">
        <v>0.32</v>
      </c>
      <c r="H209" s="46">
        <v>6.64</v>
      </c>
      <c r="I209" s="4">
        <f t="shared" si="2"/>
        <v>-3241.9690077991545</v>
      </c>
      <c r="J209" s="141">
        <f t="shared" si="3"/>
        <v>3343.5690077991544</v>
      </c>
      <c r="K209" s="199">
        <f t="shared" si="4"/>
        <v>11179453.709915021</v>
      </c>
      <c r="L209" s="199"/>
      <c r="M209" s="48">
        <f t="shared" si="5"/>
        <v>0.18777777777776875</v>
      </c>
      <c r="N209" s="207">
        <f t="shared" si="6"/>
        <v>14082455.883249115</v>
      </c>
      <c r="O209" s="207"/>
    </row>
    <row r="210" spans="2:25" x14ac:dyDescent="0.25">
      <c r="B210" s="4">
        <f t="shared" si="7"/>
        <v>10</v>
      </c>
      <c r="C210" s="48">
        <v>102.3</v>
      </c>
      <c r="D210" s="46">
        <v>5.17</v>
      </c>
      <c r="E210" s="46">
        <v>6.56</v>
      </c>
      <c r="F210" s="46">
        <v>21</v>
      </c>
      <c r="G210" s="4">
        <v>0.3</v>
      </c>
      <c r="H210" s="46">
        <v>6.86</v>
      </c>
      <c r="I210" s="4">
        <f t="shared" si="2"/>
        <v>-21399.459147209913</v>
      </c>
      <c r="J210" s="141">
        <f t="shared" si="3"/>
        <v>21501.759147209912</v>
      </c>
      <c r="K210" s="199">
        <f t="shared" si="4"/>
        <v>462325646.4246251</v>
      </c>
      <c r="L210" s="199"/>
      <c r="M210" s="48">
        <f t="shared" si="5"/>
        <v>7.1111111111118189E-2</v>
      </c>
      <c r="N210" s="207">
        <f t="shared" si="6"/>
        <v>480054672.16990274</v>
      </c>
      <c r="O210" s="207"/>
      <c r="Q210" s="100"/>
      <c r="R210" s="100"/>
      <c r="S210" s="100"/>
      <c r="T210" s="100"/>
      <c r="U210" s="100"/>
      <c r="V210" s="100"/>
    </row>
    <row r="211" spans="2:25" x14ac:dyDescent="0.25">
      <c r="B211" s="4">
        <f t="shared" si="7"/>
        <v>11</v>
      </c>
      <c r="C211" s="48">
        <v>103.4</v>
      </c>
      <c r="D211" s="46">
        <v>6.17</v>
      </c>
      <c r="E211" s="46">
        <v>7.78</v>
      </c>
      <c r="F211" s="46">
        <v>19.170000000000002</v>
      </c>
      <c r="G211" s="4">
        <v>0.32</v>
      </c>
      <c r="H211" s="46">
        <v>7.04</v>
      </c>
      <c r="I211" s="4">
        <f t="shared" si="2"/>
        <v>-8101.4517901182353</v>
      </c>
      <c r="J211" s="141">
        <f t="shared" si="3"/>
        <v>8204.8517901182349</v>
      </c>
      <c r="K211" s="199">
        <f t="shared" si="4"/>
        <v>67319592.897806406</v>
      </c>
      <c r="L211" s="199"/>
      <c r="M211" s="48">
        <f t="shared" si="5"/>
        <v>1.8677777777778373</v>
      </c>
      <c r="N211" s="207">
        <f t="shared" si="6"/>
        <v>74169000.566672653</v>
      </c>
      <c r="O211" s="207"/>
    </row>
    <row r="212" spans="2:25" ht="15.75" thickBot="1" x14ac:dyDescent="0.3">
      <c r="B212" s="4">
        <f t="shared" si="7"/>
        <v>12</v>
      </c>
      <c r="C212" s="48">
        <v>105.1</v>
      </c>
      <c r="D212" s="46">
        <v>6.02</v>
      </c>
      <c r="E212" s="46">
        <v>7.6</v>
      </c>
      <c r="F212" s="46">
        <v>22.2</v>
      </c>
      <c r="G212" s="4">
        <v>0.37</v>
      </c>
      <c r="H212" s="46">
        <v>7.47</v>
      </c>
      <c r="I212" s="4">
        <f t="shared" si="2"/>
        <v>2504.151797351029</v>
      </c>
      <c r="J212" s="141">
        <f t="shared" si="3"/>
        <v>-2399.0517973510291</v>
      </c>
      <c r="K212" s="204">
        <f t="shared" si="4"/>
        <v>5755449.5263732029</v>
      </c>
      <c r="L212" s="204"/>
      <c r="M212" s="48">
        <f t="shared" si="5"/>
        <v>9.4044444444445077</v>
      </c>
      <c r="N212" s="207">
        <f t="shared" si="6"/>
        <v>3973886.6150620389</v>
      </c>
      <c r="O212" s="207"/>
    </row>
    <row r="213" spans="2:25" x14ac:dyDescent="0.25">
      <c r="K213" s="205">
        <f>SUM(K201:K212)</f>
        <v>5374240951.5390596</v>
      </c>
      <c r="L213" s="206"/>
      <c r="M213" s="150">
        <f>SUM(M201:M212)</f>
        <v>40.726666666666631</v>
      </c>
      <c r="N213" s="208">
        <f>SUM(N201:N212)</f>
        <v>5372179669.0331469</v>
      </c>
      <c r="O213" s="209"/>
      <c r="P213" s="276"/>
      <c r="Q213" s="277"/>
    </row>
    <row r="214" spans="2:25" ht="15.75" thickBot="1" x14ac:dyDescent="0.3">
      <c r="K214" s="201" t="s">
        <v>120</v>
      </c>
      <c r="L214" s="202"/>
      <c r="M214" s="143" t="s">
        <v>121</v>
      </c>
      <c r="N214" s="201" t="s">
        <v>122</v>
      </c>
      <c r="O214" s="202"/>
    </row>
    <row r="215" spans="2:25" x14ac:dyDescent="0.25">
      <c r="C215" s="19"/>
      <c r="Q215" s="100"/>
      <c r="R215" s="100"/>
      <c r="S215" s="100"/>
      <c r="T215" s="100"/>
      <c r="U215" s="100"/>
      <c r="V215" s="100"/>
      <c r="W215" s="100"/>
      <c r="X215" s="100"/>
      <c r="Y215" s="100"/>
    </row>
    <row r="216" spans="2:25" ht="15.75" thickBot="1" x14ac:dyDescent="0.3">
      <c r="C216" s="19"/>
      <c r="R216" s="44"/>
    </row>
    <row r="217" spans="2:25" ht="15.75" thickBot="1" x14ac:dyDescent="0.3">
      <c r="B217" s="192" t="s">
        <v>140</v>
      </c>
      <c r="C217" s="193"/>
      <c r="D217" s="193"/>
      <c r="E217" s="193"/>
      <c r="F217" s="193"/>
      <c r="G217" s="194"/>
      <c r="R217" s="44"/>
    </row>
    <row r="218" spans="2:25" ht="15.75" thickBot="1" x14ac:dyDescent="0.3">
      <c r="K218" s="192" t="s">
        <v>145</v>
      </c>
      <c r="L218" s="193"/>
      <c r="M218" s="194"/>
      <c r="R218" s="44"/>
    </row>
    <row r="219" spans="2:25" ht="15.75" thickBot="1" x14ac:dyDescent="0.3">
      <c r="K219" s="188" t="s">
        <v>146</v>
      </c>
      <c r="L219" s="188"/>
      <c r="M219" s="188"/>
      <c r="R219" s="44"/>
    </row>
    <row r="220" spans="2:25" ht="15.75" thickBot="1" x14ac:dyDescent="0.3">
      <c r="B220" s="90" t="s">
        <v>119</v>
      </c>
      <c r="C220" s="19"/>
      <c r="D220" s="203" t="s">
        <v>141</v>
      </c>
      <c r="E220" s="188"/>
      <c r="F220" s="189"/>
      <c r="R220" s="44"/>
    </row>
    <row r="221" spans="2:25" ht="15.75" thickBot="1" x14ac:dyDescent="0.3">
      <c r="B221" s="146">
        <v>-2972.191009898725</v>
      </c>
      <c r="D221" s="149"/>
      <c r="E221" s="131">
        <v>6</v>
      </c>
      <c r="F221" s="107"/>
      <c r="L221">
        <f>_xlfn.T.INV(1-0.05/2,E224-1)</f>
        <v>2.2009851600916384</v>
      </c>
      <c r="R221" s="44"/>
    </row>
    <row r="222" spans="2:25" ht="15.75" thickBot="1" x14ac:dyDescent="0.3">
      <c r="B222" s="147">
        <v>20323.939056555933</v>
      </c>
    </row>
    <row r="223" spans="2:25" x14ac:dyDescent="0.25">
      <c r="B223" s="147">
        <v>-39569.362103036678</v>
      </c>
      <c r="D223" s="203" t="s">
        <v>142</v>
      </c>
      <c r="E223" s="188"/>
      <c r="F223" s="189"/>
    </row>
    <row r="224" spans="2:25" ht="15.75" thickBot="1" x14ac:dyDescent="0.3">
      <c r="B224" s="147">
        <v>28927.862781198837</v>
      </c>
      <c r="D224" s="149"/>
      <c r="E224" s="131">
        <v>12</v>
      </c>
      <c r="F224" s="107"/>
    </row>
    <row r="225" spans="2:25" ht="15.75" thickBot="1" x14ac:dyDescent="0.3">
      <c r="B225" s="147">
        <v>16688.353524282691</v>
      </c>
    </row>
    <row r="226" spans="2:25" x14ac:dyDescent="0.25">
      <c r="B226" s="147">
        <v>-35222.375544694514</v>
      </c>
      <c r="D226" s="203" t="s">
        <v>143</v>
      </c>
      <c r="E226" s="188"/>
      <c r="F226" s="189"/>
    </row>
    <row r="227" spans="2:25" ht="15.75" thickBot="1" x14ac:dyDescent="0.3">
      <c r="B227" s="147">
        <v>-1803.1710598196673</v>
      </c>
      <c r="D227" s="149"/>
      <c r="E227" s="131">
        <f>ABS(E221/E224-0.5)/SQRT((E221/E224*(1-E221/E224)/(E224-1)))</f>
        <v>0</v>
      </c>
      <c r="F227" s="107"/>
    </row>
    <row r="228" spans="2:25" ht="15.75" thickBot="1" x14ac:dyDescent="0.3">
      <c r="B228" s="147">
        <v>-21928.073792365118</v>
      </c>
    </row>
    <row r="229" spans="2:25" ht="15.75" thickBot="1" x14ac:dyDescent="0.3">
      <c r="B229" s="147">
        <v>3343.5690077991544</v>
      </c>
      <c r="D229" s="192" t="s">
        <v>144</v>
      </c>
      <c r="E229" s="193"/>
      <c r="F229" s="193"/>
      <c r="G229" s="194"/>
    </row>
    <row r="230" spans="2:25" x14ac:dyDescent="0.25">
      <c r="B230" s="147">
        <v>21501.759147209912</v>
      </c>
    </row>
    <row r="231" spans="2:25" x14ac:dyDescent="0.25">
      <c r="B231" s="147">
        <v>8204.8517901182349</v>
      </c>
    </row>
    <row r="232" spans="2:25" ht="15.75" thickBot="1" x14ac:dyDescent="0.3">
      <c r="B232" s="148">
        <v>-2399.0517973510291</v>
      </c>
    </row>
    <row r="233" spans="2:25" x14ac:dyDescent="0.25">
      <c r="Q233" s="99"/>
      <c r="R233" s="99"/>
    </row>
    <row r="234" spans="2:25" ht="15.75" thickBot="1" x14ac:dyDescent="0.3">
      <c r="C234" s="145"/>
    </row>
    <row r="235" spans="2:25" ht="15.75" thickBot="1" x14ac:dyDescent="0.3">
      <c r="B235" s="192" t="s">
        <v>159</v>
      </c>
      <c r="C235" s="193"/>
      <c r="D235" s="193"/>
      <c r="E235" s="193"/>
      <c r="F235" s="193"/>
      <c r="G235" s="193"/>
      <c r="H235" s="193"/>
      <c r="I235" s="193"/>
      <c r="J235" s="193"/>
      <c r="K235" s="194"/>
    </row>
    <row r="236" spans="2:25" ht="15.75" thickBot="1" x14ac:dyDescent="0.3">
      <c r="C236" s="145"/>
    </row>
    <row r="237" spans="2:25" x14ac:dyDescent="0.25">
      <c r="B237" s="211" t="s">
        <v>42</v>
      </c>
      <c r="C237" s="212"/>
      <c r="D237" s="211" t="s">
        <v>43</v>
      </c>
      <c r="E237" s="212"/>
      <c r="F237" s="211" t="s">
        <v>44</v>
      </c>
      <c r="G237" s="212"/>
      <c r="H237" s="211" t="s">
        <v>45</v>
      </c>
      <c r="I237" s="212"/>
      <c r="J237" s="211" t="s">
        <v>46</v>
      </c>
      <c r="K237" s="212"/>
      <c r="M237" s="98" t="s">
        <v>83</v>
      </c>
      <c r="N237" s="98"/>
      <c r="W237" s="100"/>
      <c r="X237" s="100"/>
      <c r="Y237" s="100"/>
    </row>
    <row r="238" spans="2:25" x14ac:dyDescent="0.25">
      <c r="B238" s="153"/>
      <c r="C238" s="105"/>
      <c r="D238" s="153"/>
      <c r="E238" s="105"/>
      <c r="F238" s="153"/>
      <c r="G238" s="105"/>
      <c r="H238" s="153"/>
      <c r="I238" s="105"/>
      <c r="J238" s="153"/>
      <c r="K238" s="105"/>
      <c r="M238" t="s">
        <v>84</v>
      </c>
      <c r="N238">
        <v>0.77095589958294419</v>
      </c>
    </row>
    <row r="239" spans="2:25" x14ac:dyDescent="0.25">
      <c r="B239" s="153" t="s">
        <v>147</v>
      </c>
      <c r="C239" s="105">
        <v>5</v>
      </c>
      <c r="D239" s="153" t="s">
        <v>147</v>
      </c>
      <c r="E239" s="105">
        <v>6.1741666666666655</v>
      </c>
      <c r="F239" s="153" t="s">
        <v>147</v>
      </c>
      <c r="G239" s="105">
        <v>18.553333333333331</v>
      </c>
      <c r="H239" s="153" t="s">
        <v>147</v>
      </c>
      <c r="I239" s="105">
        <v>0.31416666666666665</v>
      </c>
      <c r="J239" s="153" t="s">
        <v>147</v>
      </c>
      <c r="K239" s="105">
        <v>6.1050000000000004</v>
      </c>
      <c r="M239" t="s">
        <v>85</v>
      </c>
      <c r="N239">
        <v>0.59437299910174679</v>
      </c>
    </row>
    <row r="240" spans="2:25" x14ac:dyDescent="0.25">
      <c r="B240" s="153" t="s">
        <v>87</v>
      </c>
      <c r="C240" s="105">
        <v>0.22430363619906257</v>
      </c>
      <c r="D240" s="153" t="s">
        <v>87</v>
      </c>
      <c r="E240" s="105">
        <v>0.26235951026456716</v>
      </c>
      <c r="F240" s="153" t="s">
        <v>87</v>
      </c>
      <c r="G240" s="105">
        <v>0.91094550724602763</v>
      </c>
      <c r="H240" s="153" t="s">
        <v>87</v>
      </c>
      <c r="I240" s="105">
        <v>1.305340622754894E-2</v>
      </c>
      <c r="J240" s="153" t="s">
        <v>87</v>
      </c>
      <c r="K240" s="105">
        <v>0.20371362846957936</v>
      </c>
      <c r="M240" t="s">
        <v>86</v>
      </c>
      <c r="N240">
        <v>0.25635049835320239</v>
      </c>
    </row>
    <row r="241" spans="2:21" x14ac:dyDescent="0.25">
      <c r="B241" s="153" t="s">
        <v>148</v>
      </c>
      <c r="C241" s="105">
        <v>4.835</v>
      </c>
      <c r="D241" s="153" t="s">
        <v>148</v>
      </c>
      <c r="E241" s="105">
        <v>6.1300000000000008</v>
      </c>
      <c r="F241" s="153" t="s">
        <v>148</v>
      </c>
      <c r="G241" s="105">
        <v>17.14</v>
      </c>
      <c r="H241" s="153" t="s">
        <v>148</v>
      </c>
      <c r="I241" s="105">
        <v>0.31</v>
      </c>
      <c r="J241" s="153" t="s">
        <v>148</v>
      </c>
      <c r="K241" s="105">
        <v>5.7249999999999996</v>
      </c>
      <c r="M241" t="s">
        <v>87</v>
      </c>
      <c r="N241">
        <v>1.659308875033159</v>
      </c>
    </row>
    <row r="242" spans="2:21" ht="15.75" thickBot="1" x14ac:dyDescent="0.3">
      <c r="B242" s="153" t="s">
        <v>149</v>
      </c>
      <c r="C242" s="105">
        <v>5.17</v>
      </c>
      <c r="D242" s="153" t="s">
        <v>149</v>
      </c>
      <c r="E242" s="105" t="e">
        <v>#N/A</v>
      </c>
      <c r="F242" s="153" t="s">
        <v>149</v>
      </c>
      <c r="G242" s="105" t="e">
        <v>#N/A</v>
      </c>
      <c r="H242" s="153" t="s">
        <v>149</v>
      </c>
      <c r="I242" s="105">
        <v>0.32</v>
      </c>
      <c r="J242" s="153" t="s">
        <v>149</v>
      </c>
      <c r="K242" s="105" t="e">
        <v>#N/A</v>
      </c>
      <c r="M242" s="42" t="s">
        <v>88</v>
      </c>
      <c r="N242" s="42">
        <v>12</v>
      </c>
    </row>
    <row r="243" spans="2:21" x14ac:dyDescent="0.25">
      <c r="B243" s="153" t="s">
        <v>150</v>
      </c>
      <c r="C243" s="105">
        <v>0.77701058843844395</v>
      </c>
      <c r="D243" s="153" t="s">
        <v>150</v>
      </c>
      <c r="E243" s="105">
        <v>0.90884000325423731</v>
      </c>
      <c r="F243" s="153" t="s">
        <v>150</v>
      </c>
      <c r="G243" s="105">
        <v>3.1556078029534453</v>
      </c>
      <c r="H243" s="153" t="s">
        <v>150</v>
      </c>
      <c r="I243" s="105">
        <v>4.5218325595901505E-2</v>
      </c>
      <c r="J243" s="153" t="s">
        <v>150</v>
      </c>
      <c r="K243" s="105">
        <v>0.70568470940704231</v>
      </c>
    </row>
    <row r="244" spans="2:21" ht="15.75" thickBot="1" x14ac:dyDescent="0.3">
      <c r="B244" s="153" t="s">
        <v>151</v>
      </c>
      <c r="C244" s="105">
        <v>0.60374545454545692</v>
      </c>
      <c r="D244" s="153" t="s">
        <v>151</v>
      </c>
      <c r="E244" s="105">
        <v>0.82599015151516209</v>
      </c>
      <c r="F244" s="153" t="s">
        <v>151</v>
      </c>
      <c r="G244" s="105">
        <v>9.9578606060606702</v>
      </c>
      <c r="H244" s="153" t="s">
        <v>151</v>
      </c>
      <c r="I244" s="105">
        <v>2.0446969696969615E-3</v>
      </c>
      <c r="J244" s="153" t="s">
        <v>151</v>
      </c>
      <c r="K244" s="105">
        <v>0.49799090909090182</v>
      </c>
      <c r="M244" t="s">
        <v>89</v>
      </c>
    </row>
    <row r="245" spans="2:21" x14ac:dyDescent="0.25">
      <c r="B245" s="153" t="s">
        <v>152</v>
      </c>
      <c r="C245" s="105">
        <v>-1.4629370923422704</v>
      </c>
      <c r="D245" s="153" t="s">
        <v>152</v>
      </c>
      <c r="E245" s="105">
        <v>0.29742008998555125</v>
      </c>
      <c r="F245" s="153" t="s">
        <v>152</v>
      </c>
      <c r="G245" s="105">
        <v>-1.2648567347658695</v>
      </c>
      <c r="H245" s="153" t="s">
        <v>152</v>
      </c>
      <c r="I245" s="105">
        <v>0.38249661168813454</v>
      </c>
      <c r="J245" s="153" t="s">
        <v>152</v>
      </c>
      <c r="K245" s="105">
        <v>-0.72562508361253775</v>
      </c>
      <c r="M245" s="97"/>
      <c r="N245" s="97" t="s">
        <v>94</v>
      </c>
      <c r="O245" s="97" t="s">
        <v>95</v>
      </c>
      <c r="P245" s="97" t="s">
        <v>96</v>
      </c>
      <c r="Q245" s="97" t="s">
        <v>97</v>
      </c>
      <c r="R245" s="97" t="s">
        <v>98</v>
      </c>
    </row>
    <row r="246" spans="2:21" x14ac:dyDescent="0.25">
      <c r="B246" s="153" t="s">
        <v>153</v>
      </c>
      <c r="C246" s="105">
        <v>0.2443903306164783</v>
      </c>
      <c r="D246" s="153" t="s">
        <v>153</v>
      </c>
      <c r="E246" s="105">
        <v>0.2382933764897604</v>
      </c>
      <c r="F246" s="153" t="s">
        <v>153</v>
      </c>
      <c r="G246" s="105">
        <v>0.59459905573259697</v>
      </c>
      <c r="H246" s="153" t="s">
        <v>153</v>
      </c>
      <c r="I246" s="105">
        <v>0.7987757832632878</v>
      </c>
      <c r="J246" s="153" t="s">
        <v>153</v>
      </c>
      <c r="K246" s="105">
        <v>0.90804847675431444</v>
      </c>
      <c r="M246" t="s">
        <v>90</v>
      </c>
      <c r="N246">
        <v>5</v>
      </c>
      <c r="O246">
        <v>24.206831010083786</v>
      </c>
      <c r="P246">
        <v>4.8413662020167569</v>
      </c>
      <c r="Q246">
        <v>1.7583829413294059</v>
      </c>
      <c r="R246">
        <v>0.25538738414179929</v>
      </c>
    </row>
    <row r="247" spans="2:21" x14ac:dyDescent="0.25">
      <c r="B247" s="153" t="s">
        <v>154</v>
      </c>
      <c r="C247" s="105">
        <v>2.31</v>
      </c>
      <c r="D247" s="153" t="s">
        <v>154</v>
      </c>
      <c r="E247" s="105">
        <v>3.2200000000000006</v>
      </c>
      <c r="F247" s="153" t="s">
        <v>154</v>
      </c>
      <c r="G247" s="105">
        <v>8.84</v>
      </c>
      <c r="H247" s="153" t="s">
        <v>154</v>
      </c>
      <c r="I247" s="105">
        <v>0.14999999999999997</v>
      </c>
      <c r="J247" s="153" t="s">
        <v>154</v>
      </c>
      <c r="K247" s="105">
        <v>2</v>
      </c>
      <c r="M247" t="s">
        <v>91</v>
      </c>
      <c r="N247">
        <v>6</v>
      </c>
      <c r="O247">
        <v>16.519835656582845</v>
      </c>
      <c r="P247">
        <v>2.7533059427638076</v>
      </c>
    </row>
    <row r="248" spans="2:21" ht="15.75" thickBot="1" x14ac:dyDescent="0.3">
      <c r="B248" s="153" t="s">
        <v>155</v>
      </c>
      <c r="C248" s="105">
        <v>3.86</v>
      </c>
      <c r="D248" s="153" t="s">
        <v>155</v>
      </c>
      <c r="E248" s="105">
        <v>4.5599999999999996</v>
      </c>
      <c r="F248" s="153" t="s">
        <v>155</v>
      </c>
      <c r="G248" s="105">
        <v>15.05</v>
      </c>
      <c r="H248" s="153" t="s">
        <v>155</v>
      </c>
      <c r="I248" s="105">
        <v>0.26</v>
      </c>
      <c r="J248" s="153" t="s">
        <v>155</v>
      </c>
      <c r="K248" s="105">
        <v>5.47</v>
      </c>
      <c r="M248" s="42" t="s">
        <v>92</v>
      </c>
      <c r="N248" s="42">
        <v>11</v>
      </c>
      <c r="O248" s="42">
        <v>40.726666666666631</v>
      </c>
      <c r="P248" s="42"/>
      <c r="Q248" s="42"/>
      <c r="R248" s="42"/>
    </row>
    <row r="249" spans="2:21" ht="15.75" thickBot="1" x14ac:dyDescent="0.3">
      <c r="B249" s="153" t="s">
        <v>156</v>
      </c>
      <c r="C249" s="105">
        <v>6.17</v>
      </c>
      <c r="D249" s="153" t="s">
        <v>156</v>
      </c>
      <c r="E249" s="105">
        <v>7.78</v>
      </c>
      <c r="F249" s="153" t="s">
        <v>156</v>
      </c>
      <c r="G249" s="105">
        <v>23.89</v>
      </c>
      <c r="H249" s="153" t="s">
        <v>156</v>
      </c>
      <c r="I249" s="105">
        <v>0.41</v>
      </c>
      <c r="J249" s="153" t="s">
        <v>156</v>
      </c>
      <c r="K249" s="105">
        <v>7.47</v>
      </c>
    </row>
    <row r="250" spans="2:21" x14ac:dyDescent="0.25">
      <c r="B250" s="153" t="s">
        <v>157</v>
      </c>
      <c r="C250" s="105">
        <v>60</v>
      </c>
      <c r="D250" s="153" t="s">
        <v>157</v>
      </c>
      <c r="E250" s="105">
        <v>74.089999999999989</v>
      </c>
      <c r="F250" s="153" t="s">
        <v>157</v>
      </c>
      <c r="G250" s="105">
        <v>222.64</v>
      </c>
      <c r="H250" s="153" t="s">
        <v>157</v>
      </c>
      <c r="I250" s="105">
        <v>3.77</v>
      </c>
      <c r="J250" s="153" t="s">
        <v>157</v>
      </c>
      <c r="K250" s="105">
        <v>73.260000000000005</v>
      </c>
      <c r="M250" s="97"/>
      <c r="N250" s="97" t="s">
        <v>99</v>
      </c>
      <c r="O250" s="97" t="s">
        <v>87</v>
      </c>
      <c r="P250" s="97" t="s">
        <v>100</v>
      </c>
      <c r="Q250" s="97" t="s">
        <v>101</v>
      </c>
      <c r="R250" s="97" t="s">
        <v>102</v>
      </c>
      <c r="S250" s="97" t="s">
        <v>103</v>
      </c>
      <c r="T250" s="97" t="s">
        <v>104</v>
      </c>
      <c r="U250" s="97" t="s">
        <v>105</v>
      </c>
    </row>
    <row r="251" spans="2:21" ht="15.75" thickBot="1" x14ac:dyDescent="0.3">
      <c r="B251" s="149" t="s">
        <v>158</v>
      </c>
      <c r="C251" s="107">
        <v>12</v>
      </c>
      <c r="D251" s="149" t="s">
        <v>158</v>
      </c>
      <c r="E251" s="107">
        <v>12</v>
      </c>
      <c r="F251" s="149" t="s">
        <v>158</v>
      </c>
      <c r="G251" s="107">
        <v>12</v>
      </c>
      <c r="H251" s="149" t="s">
        <v>158</v>
      </c>
      <c r="I251" s="107">
        <v>12</v>
      </c>
      <c r="J251" s="149" t="s">
        <v>158</v>
      </c>
      <c r="K251" s="107">
        <v>12</v>
      </c>
      <c r="M251" t="s">
        <v>93</v>
      </c>
      <c r="N251">
        <v>85.494648396571463</v>
      </c>
      <c r="O251">
        <v>5.7166497091293307</v>
      </c>
      <c r="P251">
        <v>14.955376443660503</v>
      </c>
      <c r="Q251">
        <v>5.6276927265699249E-6</v>
      </c>
      <c r="R251">
        <v>71.506510474458466</v>
      </c>
      <c r="S251">
        <v>99.482786318684461</v>
      </c>
      <c r="T251">
        <v>71.506510474458466</v>
      </c>
      <c r="U251">
        <v>99.482786318684461</v>
      </c>
    </row>
    <row r="252" spans="2:21" x14ac:dyDescent="0.25">
      <c r="C252" s="145"/>
      <c r="M252" s="19" t="s">
        <v>42</v>
      </c>
      <c r="N252">
        <v>3.2464271130887097</v>
      </c>
      <c r="O252">
        <v>2.3784351055791007</v>
      </c>
      <c r="P252">
        <v>1.3649424806561079</v>
      </c>
      <c r="Q252">
        <v>0.22123684570170035</v>
      </c>
      <c r="R252">
        <v>-2.5733939339320289</v>
      </c>
      <c r="S252">
        <v>9.0662481601094491</v>
      </c>
      <c r="T252">
        <v>-2.5733939339320289</v>
      </c>
      <c r="U252">
        <v>9.0662481601094491</v>
      </c>
    </row>
    <row r="253" spans="2:21" ht="15.75" thickBot="1" x14ac:dyDescent="0.3">
      <c r="C253" s="145"/>
      <c r="M253" s="19" t="s">
        <v>43</v>
      </c>
      <c r="N253">
        <v>-4.8020958156139431</v>
      </c>
      <c r="O253">
        <v>2.5132292030587595</v>
      </c>
      <c r="P253">
        <v>-1.9107273661190503</v>
      </c>
      <c r="Q253">
        <v>0.10460237231802703</v>
      </c>
      <c r="R253">
        <v>-10.951746137222049</v>
      </c>
      <c r="S253">
        <v>1.3475545059941627</v>
      </c>
      <c r="T253">
        <v>-10.951746137222049</v>
      </c>
      <c r="U253">
        <v>1.3475545059941627</v>
      </c>
    </row>
    <row r="254" spans="2:21" ht="15.75" thickBot="1" x14ac:dyDescent="0.3">
      <c r="B254" s="19" t="s">
        <v>159</v>
      </c>
      <c r="C254" s="154" t="s">
        <v>160</v>
      </c>
      <c r="D254" s="136"/>
      <c r="E254" s="136">
        <f>1/(1-N239)</f>
        <v>2.4653191177745053</v>
      </c>
      <c r="M254" s="19" t="s">
        <v>44</v>
      </c>
      <c r="N254">
        <v>-0.12958686310136078</v>
      </c>
      <c r="O254">
        <v>0.33397423371600166</v>
      </c>
      <c r="P254">
        <v>-0.38801455327705392</v>
      </c>
      <c r="Q254">
        <v>0.71139798240021801</v>
      </c>
      <c r="R254">
        <v>-0.94679237355810519</v>
      </c>
      <c r="S254">
        <v>0.68761864735538358</v>
      </c>
      <c r="T254">
        <v>-0.94679237355810519</v>
      </c>
      <c r="U254">
        <v>0.68761864735538358</v>
      </c>
    </row>
    <row r="255" spans="2:21" ht="15.75" thickBot="1" x14ac:dyDescent="0.3">
      <c r="C255" s="145"/>
      <c r="M255" s="19" t="s">
        <v>45</v>
      </c>
      <c r="N255">
        <v>20.342141124576838</v>
      </c>
      <c r="O255">
        <v>16.769542356413488</v>
      </c>
      <c r="P255">
        <v>1.2130409221809808</v>
      </c>
      <c r="Q255">
        <v>0.27069994855150897</v>
      </c>
      <c r="R255">
        <v>-20.69145080560887</v>
      </c>
      <c r="S255">
        <v>61.375733054762549</v>
      </c>
      <c r="T255">
        <v>-20.69145080560887</v>
      </c>
      <c r="U255">
        <v>61.375733054762549</v>
      </c>
    </row>
    <row r="256" spans="2:21" ht="15.75" thickBot="1" x14ac:dyDescent="0.3">
      <c r="C256" s="155" t="s">
        <v>161</v>
      </c>
      <c r="D256" s="73" t="s">
        <v>42</v>
      </c>
      <c r="E256" s="151">
        <f>(C244*(N242-1)*O252)/P247</f>
        <v>5.7369807611413046</v>
      </c>
      <c r="M256" s="152" t="s">
        <v>46</v>
      </c>
      <c r="N256" s="42">
        <v>4.2537157875496705</v>
      </c>
      <c r="O256" s="42">
        <v>1.9948688342396845</v>
      </c>
      <c r="P256" s="42">
        <v>2.1323285594217589</v>
      </c>
      <c r="Q256" s="42">
        <v>7.6961427319326439E-2</v>
      </c>
      <c r="R256" s="42">
        <v>-0.62755240443116378</v>
      </c>
      <c r="S256" s="42">
        <v>9.1349839795305048</v>
      </c>
      <c r="T256" s="42">
        <v>-0.62755240443116378</v>
      </c>
      <c r="U256" s="42">
        <v>9.1349839795305048</v>
      </c>
    </row>
    <row r="257" spans="2:17" x14ac:dyDescent="0.25">
      <c r="C257" s="145"/>
      <c r="D257" s="157" t="s">
        <v>43</v>
      </c>
      <c r="E257" s="95">
        <f>(E244*(N242-1)*O253)/P247</f>
        <v>8.2936399903212923</v>
      </c>
    </row>
    <row r="258" spans="2:17" x14ac:dyDescent="0.25">
      <c r="C258" s="145"/>
      <c r="D258" s="157" t="s">
        <v>44</v>
      </c>
      <c r="E258" s="95">
        <f>(G244*(N242-1)*O254)/P247</f>
        <v>13.286702705561554</v>
      </c>
    </row>
    <row r="259" spans="2:17" x14ac:dyDescent="0.25">
      <c r="C259" s="145"/>
      <c r="D259" s="157" t="s">
        <v>45</v>
      </c>
      <c r="E259" s="95">
        <f>(I244*(N242-1)*O255)/P247</f>
        <v>0.13698984590662125</v>
      </c>
    </row>
    <row r="260" spans="2:17" ht="15.75" thickBot="1" x14ac:dyDescent="0.3">
      <c r="C260" s="145"/>
      <c r="D260" s="142" t="s">
        <v>46</v>
      </c>
      <c r="E260" s="96">
        <f>(K244*(N242-1)*O256)/P247</f>
        <v>3.9689348783782581</v>
      </c>
    </row>
    <row r="262" spans="2:17" ht="15.75" thickBot="1" x14ac:dyDescent="0.3"/>
    <row r="263" spans="2:17" ht="15.75" thickBot="1" x14ac:dyDescent="0.3">
      <c r="B263" s="192" t="s">
        <v>162</v>
      </c>
      <c r="C263" s="193"/>
      <c r="D263" s="193"/>
      <c r="E263" s="193"/>
      <c r="F263" s="193"/>
      <c r="G263" s="193"/>
      <c r="H263" s="193"/>
      <c r="I263" s="193"/>
      <c r="J263" s="193"/>
      <c r="K263" s="194"/>
    </row>
    <row r="265" spans="2:17" ht="15.75" thickBot="1" x14ac:dyDescent="0.3"/>
    <row r="266" spans="2:17" x14ac:dyDescent="0.25">
      <c r="B266" s="73" t="s">
        <v>119</v>
      </c>
      <c r="C266" s="216" t="s">
        <v>163</v>
      </c>
      <c r="D266" s="217"/>
      <c r="F266" s="73" t="s">
        <v>164</v>
      </c>
      <c r="G266" s="156" t="s">
        <v>165</v>
      </c>
      <c r="H266" s="226" t="s">
        <v>166</v>
      </c>
      <c r="I266" s="226"/>
      <c r="J266" s="226" t="s">
        <v>167</v>
      </c>
      <c r="K266" s="227"/>
      <c r="M266" s="228" t="s">
        <v>168</v>
      </c>
      <c r="N266" s="229"/>
      <c r="O266" s="229"/>
      <c r="P266" s="221">
        <f>SUM(H267:I272)</f>
        <v>4343568962.8659592</v>
      </c>
      <c r="Q266" s="222"/>
    </row>
    <row r="267" spans="2:17" x14ac:dyDescent="0.25">
      <c r="B267" s="158">
        <v>-2972.191009898725</v>
      </c>
      <c r="C267" s="199">
        <f>B267^2</f>
        <v>8833919.3993228022</v>
      </c>
      <c r="D267" s="210"/>
      <c r="F267" s="158">
        <v>-2972.191009898725</v>
      </c>
      <c r="G267" s="48">
        <v>-1803.1710598196673</v>
      </c>
      <c r="H267" s="199">
        <f>F267^2</f>
        <v>8833919.3993228022</v>
      </c>
      <c r="I267" s="199"/>
      <c r="J267" s="199">
        <f>G267^2</f>
        <v>3251425.8709711824</v>
      </c>
      <c r="K267" s="210"/>
      <c r="M267" s="213" t="s">
        <v>169</v>
      </c>
      <c r="N267" s="200"/>
      <c r="O267" s="200"/>
      <c r="P267" s="199">
        <f>SUM(J267:K272)</f>
        <v>1030671988.6731008</v>
      </c>
      <c r="Q267" s="223"/>
    </row>
    <row r="268" spans="2:17" x14ac:dyDescent="0.25">
      <c r="B268" s="158">
        <v>20323.939056555933</v>
      </c>
      <c r="C268" s="199">
        <f t="shared" ref="C268:C278" si="8">B268^2</f>
        <v>413062498.77459967</v>
      </c>
      <c r="D268" s="210"/>
      <c r="F268" s="158">
        <v>20323.939056555933</v>
      </c>
      <c r="G268" s="48">
        <v>-21928.073792365118</v>
      </c>
      <c r="H268" s="199">
        <f t="shared" ref="H268:H272" si="9">F268^2</f>
        <v>413062498.77459967</v>
      </c>
      <c r="I268" s="199"/>
      <c r="J268" s="199">
        <f t="shared" ref="J268:J272" si="10">G268^2</f>
        <v>480840420.24340993</v>
      </c>
      <c r="K268" s="210"/>
      <c r="M268" s="213" t="s">
        <v>170</v>
      </c>
      <c r="N268" s="200"/>
      <c r="O268" s="200"/>
      <c r="P268" s="207">
        <v>6</v>
      </c>
      <c r="Q268" s="223"/>
    </row>
    <row r="269" spans="2:17" x14ac:dyDescent="0.25">
      <c r="B269" s="158">
        <v>-39569.362103036678</v>
      </c>
      <c r="C269" s="199">
        <f t="shared" si="8"/>
        <v>1565734417.2412353</v>
      </c>
      <c r="D269" s="210"/>
      <c r="F269" s="158">
        <v>-39569.362103036678</v>
      </c>
      <c r="G269" s="48">
        <v>3343.5690077991544</v>
      </c>
      <c r="H269" s="199">
        <f t="shared" si="9"/>
        <v>1565734417.2412353</v>
      </c>
      <c r="I269" s="199"/>
      <c r="J269" s="199">
        <f t="shared" si="10"/>
        <v>11179453.709915021</v>
      </c>
      <c r="K269" s="210"/>
      <c r="M269" s="213" t="s">
        <v>171</v>
      </c>
      <c r="N269" s="200"/>
      <c r="O269" s="200"/>
      <c r="P269" s="207">
        <v>6</v>
      </c>
      <c r="Q269" s="223"/>
    </row>
    <row r="270" spans="2:17" x14ac:dyDescent="0.25">
      <c r="B270" s="158">
        <v>28927.862781198837</v>
      </c>
      <c r="C270" s="199">
        <f t="shared" si="8"/>
        <v>836821245.08786893</v>
      </c>
      <c r="D270" s="210"/>
      <c r="F270" s="158">
        <v>28927.862781198837</v>
      </c>
      <c r="G270" s="48">
        <v>21501.759147209912</v>
      </c>
      <c r="H270" s="199">
        <f t="shared" si="9"/>
        <v>836821245.08786893</v>
      </c>
      <c r="I270" s="199"/>
      <c r="J270" s="199">
        <f t="shared" si="10"/>
        <v>462325646.4246251</v>
      </c>
      <c r="K270" s="210"/>
      <c r="M270" s="213" t="s">
        <v>172</v>
      </c>
      <c r="N270" s="200"/>
      <c r="O270" s="200"/>
      <c r="P270" s="207">
        <v>5</v>
      </c>
      <c r="Q270" s="223"/>
    </row>
    <row r="271" spans="2:17" x14ac:dyDescent="0.25">
      <c r="B271" s="158">
        <v>16688.353524282691</v>
      </c>
      <c r="C271" s="199">
        <f t="shared" si="8"/>
        <v>278501143.35143852</v>
      </c>
      <c r="D271" s="210"/>
      <c r="F271" s="158">
        <v>16688.353524282691</v>
      </c>
      <c r="G271" s="48">
        <v>8204.8517901182349</v>
      </c>
      <c r="H271" s="199">
        <f t="shared" si="9"/>
        <v>278501143.35143852</v>
      </c>
      <c r="I271" s="199"/>
      <c r="J271" s="199">
        <f t="shared" si="10"/>
        <v>67319592.897806406</v>
      </c>
      <c r="K271" s="210"/>
      <c r="M271" s="213" t="s">
        <v>173</v>
      </c>
      <c r="N271" s="200"/>
      <c r="O271" s="200"/>
      <c r="P271" s="207">
        <f>_xlfn.VAR.P(F267:F272)</f>
        <v>720044782.28472757</v>
      </c>
      <c r="Q271" s="223"/>
    </row>
    <row r="272" spans="2:17" ht="15.75" thickBot="1" x14ac:dyDescent="0.3">
      <c r="B272" s="158">
        <v>-35222.375544694514</v>
      </c>
      <c r="C272" s="199">
        <f t="shared" si="8"/>
        <v>1240615739.0114942</v>
      </c>
      <c r="D272" s="210"/>
      <c r="F272" s="160">
        <v>-35222.375544694514</v>
      </c>
      <c r="G272" s="161">
        <v>-2399.0517973510291</v>
      </c>
      <c r="H272" s="214">
        <f t="shared" si="9"/>
        <v>1240615739.0114942</v>
      </c>
      <c r="I272" s="214"/>
      <c r="J272" s="214">
        <f t="shared" si="10"/>
        <v>5755449.5263732029</v>
      </c>
      <c r="K272" s="215"/>
      <c r="M272" s="213" t="s">
        <v>174</v>
      </c>
      <c r="N272" s="200"/>
      <c r="O272" s="200"/>
      <c r="P272" s="207">
        <f>_xlfn.VAR.P(G267:G272)</f>
        <v>170448531.86705554</v>
      </c>
      <c r="Q272" s="223"/>
    </row>
    <row r="273" spans="2:17" x14ac:dyDescent="0.25">
      <c r="B273" s="158">
        <v>-1803.1710598196673</v>
      </c>
      <c r="C273" s="199">
        <f t="shared" si="8"/>
        <v>3251425.8709711824</v>
      </c>
      <c r="D273" s="210"/>
      <c r="M273" s="213" t="s">
        <v>175</v>
      </c>
      <c r="N273" s="200"/>
      <c r="O273" s="200"/>
      <c r="P273" s="207">
        <f>P272/P271</f>
        <v>0.23671934865803251</v>
      </c>
      <c r="Q273" s="223"/>
    </row>
    <row r="274" spans="2:17" ht="15.75" thickBot="1" x14ac:dyDescent="0.3">
      <c r="B274" s="158">
        <v>-21928.073792365118</v>
      </c>
      <c r="C274" s="199">
        <f t="shared" si="8"/>
        <v>480840420.24340993</v>
      </c>
      <c r="D274" s="210"/>
      <c r="M274" s="219" t="s">
        <v>176</v>
      </c>
      <c r="N274" s="220"/>
      <c r="O274" s="220"/>
      <c r="P274" s="224">
        <f>FINV(0.05,P268-P270,P269-P270)</f>
        <v>161.44763879758855</v>
      </c>
      <c r="Q274" s="225"/>
    </row>
    <row r="275" spans="2:17" ht="15.75" thickBot="1" x14ac:dyDescent="0.3">
      <c r="B275" s="158">
        <v>3343.5690077991544</v>
      </c>
      <c r="C275" s="199">
        <f t="shared" si="8"/>
        <v>11179453.709915021</v>
      </c>
      <c r="D275" s="210"/>
    </row>
    <row r="276" spans="2:17" ht="15.75" thickBot="1" x14ac:dyDescent="0.3">
      <c r="B276" s="158">
        <v>21501.759147209912</v>
      </c>
      <c r="C276" s="199">
        <f t="shared" si="8"/>
        <v>462325646.4246251</v>
      </c>
      <c r="D276" s="210"/>
      <c r="M276" s="192" t="s">
        <v>177</v>
      </c>
      <c r="N276" s="193"/>
      <c r="O276" s="193"/>
      <c r="P276" s="193"/>
      <c r="Q276" s="194"/>
    </row>
    <row r="277" spans="2:17" x14ac:dyDescent="0.25">
      <c r="B277" s="158">
        <v>8204.8517901182349</v>
      </c>
      <c r="C277" s="199">
        <f t="shared" si="8"/>
        <v>67319592.897806406</v>
      </c>
      <c r="D277" s="210"/>
    </row>
    <row r="278" spans="2:17" ht="15.75" thickBot="1" x14ac:dyDescent="0.3">
      <c r="B278" s="160">
        <v>-2399.0517973510291</v>
      </c>
      <c r="C278" s="214">
        <f t="shared" si="8"/>
        <v>5755449.5263732029</v>
      </c>
      <c r="D278" s="215"/>
    </row>
    <row r="283" spans="2:17" ht="15.75" thickBot="1" x14ac:dyDescent="0.3"/>
    <row r="284" spans="2:17" ht="15.75" thickBot="1" x14ac:dyDescent="0.3">
      <c r="B284" s="192" t="s">
        <v>178</v>
      </c>
      <c r="C284" s="193"/>
      <c r="D284" s="193"/>
      <c r="E284" s="193"/>
      <c r="F284" s="193"/>
      <c r="G284" s="193"/>
      <c r="H284" s="193"/>
      <c r="I284" s="193"/>
      <c r="J284" s="193"/>
      <c r="K284" s="194"/>
    </row>
    <row r="286" spans="2:17" ht="15.75" thickBot="1" x14ac:dyDescent="0.3"/>
    <row r="287" spans="2:17" x14ac:dyDescent="0.25">
      <c r="B287" s="73" t="s">
        <v>117</v>
      </c>
      <c r="C287" s="156" t="s">
        <v>119</v>
      </c>
      <c r="D287" s="156" t="s">
        <v>184</v>
      </c>
      <c r="E287" s="163" t="s">
        <v>179</v>
      </c>
      <c r="F287" s="73" t="s">
        <v>183</v>
      </c>
      <c r="G287" s="156" t="s">
        <v>185</v>
      </c>
      <c r="H287" s="156" t="s">
        <v>186</v>
      </c>
      <c r="I287" s="163" t="s">
        <v>187</v>
      </c>
      <c r="J287" s="218" t="s">
        <v>188</v>
      </c>
      <c r="K287" s="209"/>
    </row>
    <row r="288" spans="2:17" x14ac:dyDescent="0.25">
      <c r="B288" s="164">
        <v>1</v>
      </c>
      <c r="C288" s="48">
        <v>-2972.191009898725</v>
      </c>
      <c r="D288" s="48">
        <v>-39569.362103036678</v>
      </c>
      <c r="E288" s="95">
        <f t="shared" ref="E288:E299" si="11">(C288-$B$302)/$C$302</f>
        <v>-0.12115798515273454</v>
      </c>
      <c r="F288" s="158">
        <v>-39569.362103036678</v>
      </c>
      <c r="G288" s="48">
        <v>28927.862781198837</v>
      </c>
      <c r="H288" s="48">
        <f>G288-F288</f>
        <v>68497.224884235518</v>
      </c>
      <c r="I288" s="95">
        <v>0.54749999999999999</v>
      </c>
      <c r="J288" s="243">
        <f>D288-$B$302</f>
        <v>-39160.704603036596</v>
      </c>
      <c r="K288" s="210"/>
    </row>
    <row r="289" spans="2:11" x14ac:dyDescent="0.25">
      <c r="B289" s="164">
        <f>B288+1</f>
        <v>2</v>
      </c>
      <c r="C289" s="48">
        <v>20323.939056555933</v>
      </c>
      <c r="D289" s="48">
        <v>-35222.375544694514</v>
      </c>
      <c r="E289" s="95">
        <f t="shared" si="11"/>
        <v>0.97986611685687075</v>
      </c>
      <c r="F289" s="158">
        <v>-35222.375544694514</v>
      </c>
      <c r="G289" s="48">
        <v>21501.759147209912</v>
      </c>
      <c r="H289" s="48">
        <f t="shared" ref="H289:H293" si="12">G289-F289</f>
        <v>56724.13469190443</v>
      </c>
      <c r="I289" s="95">
        <v>0.33250000000000002</v>
      </c>
      <c r="J289" s="243">
        <f t="shared" ref="J289:J299" si="13">D289-$B$302</f>
        <v>-34813.718044694433</v>
      </c>
      <c r="K289" s="210"/>
    </row>
    <row r="290" spans="2:11" x14ac:dyDescent="0.25">
      <c r="B290" s="164">
        <f t="shared" ref="B290:B299" si="14">B289+1</f>
        <v>3</v>
      </c>
      <c r="C290" s="48">
        <v>-39569.362103036678</v>
      </c>
      <c r="D290" s="48">
        <v>-21928.073792365118</v>
      </c>
      <c r="E290" s="95">
        <f t="shared" si="11"/>
        <v>-1.850817260061064</v>
      </c>
      <c r="F290" s="158">
        <v>-21928.073792365118</v>
      </c>
      <c r="G290" s="48">
        <v>20323.939056555933</v>
      </c>
      <c r="H290" s="48">
        <f t="shared" si="12"/>
        <v>42252.012848921047</v>
      </c>
      <c r="I290" s="95">
        <v>0.23469999999999999</v>
      </c>
      <c r="J290" s="243">
        <f t="shared" si="13"/>
        <v>-21519.416292365036</v>
      </c>
      <c r="K290" s="210"/>
    </row>
    <row r="291" spans="2:11" x14ac:dyDescent="0.25">
      <c r="B291" s="164">
        <f t="shared" si="14"/>
        <v>4</v>
      </c>
      <c r="C291" s="48">
        <v>28927.862781198837</v>
      </c>
      <c r="D291" s="48">
        <v>-2972.191009898725</v>
      </c>
      <c r="E291" s="95">
        <f t="shared" si="11"/>
        <v>1.3865056473566146</v>
      </c>
      <c r="F291" s="158">
        <v>-2972.191009898725</v>
      </c>
      <c r="G291" s="48">
        <v>16688.353524282691</v>
      </c>
      <c r="H291" s="48">
        <f t="shared" si="12"/>
        <v>19660.544534181416</v>
      </c>
      <c r="I291" s="95">
        <v>0.15859999999999999</v>
      </c>
      <c r="J291" s="243">
        <f t="shared" si="13"/>
        <v>-2563.5335098986443</v>
      </c>
      <c r="K291" s="210"/>
    </row>
    <row r="292" spans="2:11" x14ac:dyDescent="0.25">
      <c r="B292" s="164">
        <f t="shared" si="14"/>
        <v>5</v>
      </c>
      <c r="C292" s="48">
        <v>16688.353524282691</v>
      </c>
      <c r="D292" s="48">
        <v>-2399.0517973510291</v>
      </c>
      <c r="E292" s="95">
        <f t="shared" si="11"/>
        <v>0.80804069844910686</v>
      </c>
      <c r="F292" s="158">
        <v>-2399.0517973510291</v>
      </c>
      <c r="G292" s="48">
        <v>8204.8517901182349</v>
      </c>
      <c r="H292" s="48">
        <f t="shared" si="12"/>
        <v>10603.903587469264</v>
      </c>
      <c r="I292" s="95">
        <v>9.2200000000000004E-2</v>
      </c>
      <c r="J292" s="243">
        <f t="shared" si="13"/>
        <v>-1990.3942973509481</v>
      </c>
      <c r="K292" s="210"/>
    </row>
    <row r="293" spans="2:11" ht="15.75" thickBot="1" x14ac:dyDescent="0.3">
      <c r="B293" s="164">
        <f t="shared" si="14"/>
        <v>6</v>
      </c>
      <c r="C293" s="48">
        <v>-35222.375544694514</v>
      </c>
      <c r="D293" s="48">
        <v>-1803.1710598196673</v>
      </c>
      <c r="E293" s="95">
        <f t="shared" si="11"/>
        <v>-1.6453695329839251</v>
      </c>
      <c r="F293" s="160">
        <v>-1803.1710598196673</v>
      </c>
      <c r="G293" s="161">
        <v>3343.5690077991544</v>
      </c>
      <c r="H293" s="161">
        <f t="shared" si="12"/>
        <v>5146.7400676188217</v>
      </c>
      <c r="I293" s="96">
        <v>3.0300000000000001E-2</v>
      </c>
      <c r="J293" s="243">
        <f t="shared" si="13"/>
        <v>-1394.5135598195864</v>
      </c>
      <c r="K293" s="210"/>
    </row>
    <row r="294" spans="2:11" x14ac:dyDescent="0.25">
      <c r="B294" s="164">
        <f t="shared" si="14"/>
        <v>7</v>
      </c>
      <c r="C294" s="48">
        <v>-1803.1710598196673</v>
      </c>
      <c r="D294" s="48">
        <v>3343.5690077991544</v>
      </c>
      <c r="E294" s="95">
        <f t="shared" si="11"/>
        <v>-6.5907643697073637E-2</v>
      </c>
      <c r="H294" s="43"/>
      <c r="J294" s="243">
        <f t="shared" si="13"/>
        <v>3752.2265077992352</v>
      </c>
      <c r="K294" s="210"/>
    </row>
    <row r="295" spans="2:11" x14ac:dyDescent="0.25">
      <c r="B295" s="164">
        <f t="shared" si="14"/>
        <v>8</v>
      </c>
      <c r="C295" s="48">
        <v>-21928.073792365118</v>
      </c>
      <c r="D295" s="48">
        <v>8204.8517901182349</v>
      </c>
      <c r="E295" s="95">
        <f t="shared" si="11"/>
        <v>-1.0170528723648169</v>
      </c>
      <c r="H295" s="43"/>
      <c r="J295" s="243">
        <f t="shared" si="13"/>
        <v>8613.5092901183161</v>
      </c>
      <c r="K295" s="210"/>
    </row>
    <row r="296" spans="2:11" x14ac:dyDescent="0.25">
      <c r="B296" s="164">
        <f t="shared" si="14"/>
        <v>9</v>
      </c>
      <c r="C296" s="48">
        <v>3343.5690077991544</v>
      </c>
      <c r="D296" s="48">
        <v>16688.353524282691</v>
      </c>
      <c r="E296" s="95">
        <f t="shared" si="11"/>
        <v>0.17733811622365372</v>
      </c>
      <c r="H296" s="43"/>
      <c r="J296" s="243">
        <f t="shared" si="13"/>
        <v>17097.011024282772</v>
      </c>
      <c r="K296" s="210"/>
    </row>
    <row r="297" spans="2:11" x14ac:dyDescent="0.25">
      <c r="B297" s="164">
        <f t="shared" si="14"/>
        <v>10</v>
      </c>
      <c r="C297" s="48">
        <v>21501.759147209912</v>
      </c>
      <c r="D297" s="48">
        <v>20323.939056555933</v>
      </c>
      <c r="E297" s="95">
        <f t="shared" si="11"/>
        <v>1.0355323714640474</v>
      </c>
      <c r="H297" s="43"/>
      <c r="J297" s="243">
        <f t="shared" si="13"/>
        <v>20732.596556556015</v>
      </c>
      <c r="K297" s="210"/>
    </row>
    <row r="298" spans="2:11" x14ac:dyDescent="0.25">
      <c r="B298" s="164">
        <f t="shared" si="14"/>
        <v>11</v>
      </c>
      <c r="C298" s="48">
        <v>8204.8517901182349</v>
      </c>
      <c r="D298" s="48">
        <v>21501.759147209912</v>
      </c>
      <c r="E298" s="95">
        <f t="shared" si="11"/>
        <v>0.40709256448391701</v>
      </c>
      <c r="H298" s="43"/>
      <c r="J298" s="243">
        <f t="shared" si="13"/>
        <v>21910.416647209993</v>
      </c>
      <c r="K298" s="210"/>
    </row>
    <row r="299" spans="2:11" ht="15.75" thickBot="1" x14ac:dyDescent="0.3">
      <c r="B299" s="165">
        <f t="shared" si="14"/>
        <v>12</v>
      </c>
      <c r="C299" s="161">
        <v>-2399.0517973510291</v>
      </c>
      <c r="D299" s="161">
        <v>28927.862781198837</v>
      </c>
      <c r="E299" s="96">
        <f t="shared" si="11"/>
        <v>-9.4070220574595978E-2</v>
      </c>
      <c r="H299" s="43"/>
      <c r="J299" s="244">
        <f t="shared" si="13"/>
        <v>29336.520281198918</v>
      </c>
      <c r="K299" s="245"/>
    </row>
    <row r="300" spans="2:11" ht="15.75" thickBot="1" x14ac:dyDescent="0.3">
      <c r="I300" s="24" t="s">
        <v>210</v>
      </c>
      <c r="J300" s="246">
        <f>SUMSQ(J288:J299)</f>
        <v>5372236940.1113834</v>
      </c>
      <c r="K300" s="247"/>
    </row>
    <row r="301" spans="2:11" x14ac:dyDescent="0.25">
      <c r="B301" s="72" t="s">
        <v>180</v>
      </c>
      <c r="C301" s="177" t="s">
        <v>181</v>
      </c>
      <c r="D301" s="178" t="s">
        <v>182</v>
      </c>
      <c r="G301" s="19"/>
    </row>
    <row r="302" spans="2:11" ht="15.75" thickBot="1" x14ac:dyDescent="0.3">
      <c r="B302" s="179">
        <f>AVERAGE(C288:C299)</f>
        <v>-408.65750000008092</v>
      </c>
      <c r="C302" s="42">
        <f>_xlfn.STDEV.P(C288:C299)</f>
        <v>21158.601363888603</v>
      </c>
      <c r="D302" s="107">
        <f>AVERAGE(E288:E299)</f>
        <v>4.5102810375396984E-17</v>
      </c>
    </row>
    <row r="303" spans="2:11" x14ac:dyDescent="0.25">
      <c r="G303" s="236" t="s">
        <v>191</v>
      </c>
      <c r="H303" s="226"/>
      <c r="I303" s="230">
        <f>SUMPRODUCT(G288:G293,I288:I293)^2</f>
        <v>977308806.94738877</v>
      </c>
      <c r="J303" s="231"/>
    </row>
    <row r="304" spans="2:11" x14ac:dyDescent="0.25">
      <c r="G304" s="237" t="s">
        <v>190</v>
      </c>
      <c r="H304" s="238"/>
      <c r="I304" s="232">
        <f>((COUNT(F288:G293)-1)*VAR(F288:G293))</f>
        <v>5372236940.1113834</v>
      </c>
      <c r="J304" s="233"/>
    </row>
    <row r="305" spans="2:18" ht="15.75" thickBot="1" x14ac:dyDescent="0.3">
      <c r="G305" s="239" t="s">
        <v>189</v>
      </c>
      <c r="H305" s="240"/>
      <c r="I305" s="241">
        <f>I303/I304</f>
        <v>0.1819184108672478</v>
      </c>
      <c r="J305" s="242"/>
    </row>
    <row r="306" spans="2:18" ht="15.75" thickBot="1" x14ac:dyDescent="0.3"/>
    <row r="307" spans="2:18" ht="15.75" thickBot="1" x14ac:dyDescent="0.3">
      <c r="G307" s="192" t="s">
        <v>193</v>
      </c>
      <c r="H307" s="193"/>
      <c r="I307" s="234">
        <v>0.05</v>
      </c>
      <c r="J307" s="235"/>
    </row>
    <row r="308" spans="2:18" ht="15.75" thickBot="1" x14ac:dyDescent="0.3"/>
    <row r="309" spans="2:18" ht="15.75" thickBot="1" x14ac:dyDescent="0.3">
      <c r="G309" s="192" t="s">
        <v>192</v>
      </c>
      <c r="H309" s="193"/>
      <c r="I309" s="234">
        <v>0.85899999999999999</v>
      </c>
      <c r="J309" s="235"/>
    </row>
    <row r="310" spans="2:18" ht="15.75" thickBot="1" x14ac:dyDescent="0.3"/>
    <row r="311" spans="2:18" x14ac:dyDescent="0.25">
      <c r="G311" s="203" t="s">
        <v>195</v>
      </c>
      <c r="H311" s="188"/>
      <c r="I311" s="188"/>
      <c r="J311" s="189"/>
    </row>
    <row r="312" spans="2:18" ht="15.75" thickBot="1" x14ac:dyDescent="0.3">
      <c r="G312" s="252" t="s">
        <v>194</v>
      </c>
      <c r="H312" s="253"/>
      <c r="I312" s="253"/>
      <c r="J312" s="254"/>
    </row>
    <row r="315" spans="2:18" ht="15.75" thickBot="1" x14ac:dyDescent="0.3"/>
    <row r="316" spans="2:18" ht="15.75" thickBot="1" x14ac:dyDescent="0.3">
      <c r="B316" s="192" t="s">
        <v>196</v>
      </c>
      <c r="C316" s="193"/>
      <c r="D316" s="193"/>
      <c r="E316" s="193"/>
      <c r="F316" s="193"/>
      <c r="G316" s="193"/>
      <c r="H316" s="193"/>
      <c r="I316" s="194"/>
    </row>
    <row r="317" spans="2:18" ht="15.75" thickBot="1" x14ac:dyDescent="0.3"/>
    <row r="318" spans="2:18" ht="15.75" thickBot="1" x14ac:dyDescent="0.3">
      <c r="B318" s="90" t="s">
        <v>119</v>
      </c>
      <c r="C318" s="248" t="s">
        <v>163</v>
      </c>
      <c r="D318" s="249"/>
      <c r="E318" s="248" t="s">
        <v>197</v>
      </c>
      <c r="F318" s="249"/>
      <c r="G318" s="266" t="s">
        <v>198</v>
      </c>
      <c r="H318" s="267"/>
      <c r="I318" s="268"/>
      <c r="L318" s="248" t="s">
        <v>202</v>
      </c>
      <c r="M318" s="262"/>
      <c r="N318" s="263">
        <f>G331^2</f>
        <v>2.9039554988449538E+37</v>
      </c>
      <c r="O318" s="263"/>
      <c r="P318" s="263"/>
      <c r="Q318" s="263"/>
      <c r="R318" s="286"/>
    </row>
    <row r="319" spans="2:18" x14ac:dyDescent="0.25">
      <c r="B319" s="146">
        <v>-2972.191009898725</v>
      </c>
      <c r="C319" s="250">
        <f>B319^2</f>
        <v>8833919.3993228022</v>
      </c>
      <c r="D319" s="251"/>
      <c r="E319" s="256">
        <f>B319^3</f>
        <v>-26256095820.837177</v>
      </c>
      <c r="F319" s="257"/>
      <c r="G319" s="250">
        <f>B319^4</f>
        <v>78038131953731.734</v>
      </c>
      <c r="H319" s="269"/>
      <c r="I319" s="251"/>
      <c r="L319" s="236" t="s">
        <v>116</v>
      </c>
      <c r="M319" s="226"/>
      <c r="N319" s="281">
        <v>12</v>
      </c>
      <c r="O319" s="282"/>
      <c r="P319" s="282"/>
      <c r="Q319" s="282"/>
      <c r="R319" s="283"/>
    </row>
    <row r="320" spans="2:18" x14ac:dyDescent="0.25">
      <c r="B320" s="147">
        <v>20323.939056555933</v>
      </c>
      <c r="C320" s="243">
        <f t="shared" ref="C320:C330" si="15">B320^2</f>
        <v>413062498.77459967</v>
      </c>
      <c r="D320" s="210"/>
      <c r="E320" s="258">
        <f t="shared" ref="E320:E330" si="16">B320^3</f>
        <v>8395057051643.6738</v>
      </c>
      <c r="F320" s="259"/>
      <c r="G320" s="243">
        <f t="shared" ref="G320:G330" si="17">B320^4</f>
        <v>1.7062062789391616E+17</v>
      </c>
      <c r="H320" s="199"/>
      <c r="I320" s="210"/>
      <c r="L320" s="237" t="s">
        <v>200</v>
      </c>
      <c r="M320" s="238"/>
      <c r="N320" s="284">
        <f>KURT(B319:B330)</f>
        <v>-0.54363083213077079</v>
      </c>
      <c r="O320" s="184"/>
      <c r="P320" s="184"/>
      <c r="Q320" s="184"/>
      <c r="R320" s="185"/>
    </row>
    <row r="321" spans="1:18" x14ac:dyDescent="0.25">
      <c r="B321" s="147">
        <v>-39569.362103036678</v>
      </c>
      <c r="C321" s="243">
        <f t="shared" si="15"/>
        <v>1565734417.2412353</v>
      </c>
      <c r="D321" s="210"/>
      <c r="E321" s="258">
        <f t="shared" si="16"/>
        <v>-61955112113005.555</v>
      </c>
      <c r="F321" s="259"/>
      <c r="G321" s="243">
        <f t="shared" si="17"/>
        <v>2.4515242653337508E+18</v>
      </c>
      <c r="H321" s="199"/>
      <c r="I321" s="210"/>
      <c r="L321" s="237" t="s">
        <v>201</v>
      </c>
      <c r="M321" s="238"/>
      <c r="N321" s="284">
        <f>SKEW(B319:B330)</f>
        <v>-0.62539878772451141</v>
      </c>
      <c r="O321" s="184"/>
      <c r="P321" s="184"/>
      <c r="Q321" s="184"/>
      <c r="R321" s="185"/>
    </row>
    <row r="322" spans="1:18" x14ac:dyDescent="0.25">
      <c r="B322" s="147">
        <v>28927.862781198837</v>
      </c>
      <c r="C322" s="243">
        <f t="shared" si="15"/>
        <v>836821245.08786893</v>
      </c>
      <c r="D322" s="210"/>
      <c r="E322" s="258">
        <f t="shared" si="16"/>
        <v>24207450150293.832</v>
      </c>
      <c r="F322" s="259"/>
      <c r="G322" s="243">
        <f t="shared" si="17"/>
        <v>7.0026979623041114E+17</v>
      </c>
      <c r="H322" s="199"/>
      <c r="I322" s="210"/>
      <c r="L322" s="237" t="s">
        <v>203</v>
      </c>
      <c r="M322" s="238"/>
      <c r="N322" s="284">
        <f>E331/N318</f>
        <v>-2.3575293224996908E-24</v>
      </c>
      <c r="O322" s="184"/>
      <c r="P322" s="184"/>
      <c r="Q322" s="184"/>
      <c r="R322" s="185"/>
    </row>
    <row r="323" spans="1:18" x14ac:dyDescent="0.25">
      <c r="B323" s="147">
        <v>16688.353524282691</v>
      </c>
      <c r="C323" s="243">
        <f t="shared" si="15"/>
        <v>278501143.35143852</v>
      </c>
      <c r="D323" s="210"/>
      <c r="E323" s="258">
        <f t="shared" si="16"/>
        <v>4647725537165.7383</v>
      </c>
      <c r="F323" s="259"/>
      <c r="G323" s="243">
        <f t="shared" si="17"/>
        <v>7.7562886848058512E+16</v>
      </c>
      <c r="H323" s="199"/>
      <c r="I323" s="210"/>
      <c r="L323" s="237" t="s">
        <v>115</v>
      </c>
      <c r="M323" s="238"/>
      <c r="N323" s="284">
        <f>C331/N318</f>
        <v>1.8506622961945043E-28</v>
      </c>
      <c r="O323" s="184"/>
      <c r="P323" s="184"/>
      <c r="Q323" s="184"/>
      <c r="R323" s="185"/>
    </row>
    <row r="324" spans="1:18" x14ac:dyDescent="0.25">
      <c r="B324" s="147">
        <v>-35222.375544694514</v>
      </c>
      <c r="C324" s="243">
        <f t="shared" si="15"/>
        <v>1240615739.0114942</v>
      </c>
      <c r="D324" s="210"/>
      <c r="E324" s="258">
        <f t="shared" si="16"/>
        <v>-43697433466121.563</v>
      </c>
      <c r="F324" s="259"/>
      <c r="G324" s="243">
        <f t="shared" si="17"/>
        <v>1.5391274118830359E+18</v>
      </c>
      <c r="H324" s="199"/>
      <c r="I324" s="210"/>
      <c r="L324" s="237" t="s">
        <v>204</v>
      </c>
      <c r="M324" s="238"/>
      <c r="N324" s="284">
        <f>N319*(N322/6+((N323-3)^2)/24)</f>
        <v>4.5</v>
      </c>
      <c r="O324" s="184"/>
      <c r="P324" s="184"/>
      <c r="Q324" s="184"/>
      <c r="R324" s="185"/>
    </row>
    <row r="325" spans="1:18" ht="15.75" thickBot="1" x14ac:dyDescent="0.3">
      <c r="B325" s="147">
        <v>-1803.1710598196673</v>
      </c>
      <c r="C325" s="243">
        <f t="shared" si="15"/>
        <v>3251425.8709711824</v>
      </c>
      <c r="D325" s="210"/>
      <c r="E325" s="258">
        <f t="shared" si="16"/>
        <v>-5862877033.6841917</v>
      </c>
      <c r="F325" s="259"/>
      <c r="G325" s="243">
        <f t="shared" si="17"/>
        <v>10571770194420.711</v>
      </c>
      <c r="H325" s="199"/>
      <c r="I325" s="210"/>
      <c r="L325" s="239" t="s">
        <v>205</v>
      </c>
      <c r="M325" s="240"/>
      <c r="N325" s="285">
        <f>_xlfn.CHISQ.INV(1-0.05,2)</f>
        <v>5.9914645471079799</v>
      </c>
      <c r="O325" s="195"/>
      <c r="P325" s="195"/>
      <c r="Q325" s="195"/>
      <c r="R325" s="196"/>
    </row>
    <row r="326" spans="1:18" x14ac:dyDescent="0.25">
      <c r="B326" s="147">
        <v>-21928.073792365118</v>
      </c>
      <c r="C326" s="243">
        <f t="shared" si="15"/>
        <v>480840420.24340993</v>
      </c>
      <c r="D326" s="210"/>
      <c r="E326" s="258">
        <f t="shared" si="16"/>
        <v>-10543904217449.348</v>
      </c>
      <c r="F326" s="259"/>
      <c r="G326" s="243">
        <f t="shared" si="17"/>
        <v>2.3120750973985907E+17</v>
      </c>
      <c r="H326" s="199"/>
      <c r="I326" s="210"/>
    </row>
    <row r="327" spans="1:18" ht="15.75" thickBot="1" x14ac:dyDescent="0.3">
      <c r="B327" s="147">
        <v>3343.5690077991544</v>
      </c>
      <c r="C327" s="243">
        <f t="shared" si="15"/>
        <v>11179453.709915021</v>
      </c>
      <c r="D327" s="210"/>
      <c r="E327" s="258">
        <f t="shared" si="16"/>
        <v>37379274948.597145</v>
      </c>
      <c r="F327" s="259"/>
      <c r="G327" s="243">
        <f t="shared" si="17"/>
        <v>124980185252132.73</v>
      </c>
      <c r="H327" s="199"/>
      <c r="I327" s="210"/>
    </row>
    <row r="328" spans="1:18" x14ac:dyDescent="0.25">
      <c r="B328" s="147">
        <v>21501.759147209912</v>
      </c>
      <c r="C328" s="243">
        <f t="shared" si="15"/>
        <v>462325646.4246251</v>
      </c>
      <c r="D328" s="210"/>
      <c r="E328" s="258">
        <f t="shared" si="16"/>
        <v>9940814697000.418</v>
      </c>
      <c r="F328" s="259"/>
      <c r="G328" s="243">
        <f t="shared" si="17"/>
        <v>2.1374500334194746E+17</v>
      </c>
      <c r="H328" s="199"/>
      <c r="I328" s="210"/>
      <c r="L328" s="203" t="s">
        <v>206</v>
      </c>
      <c r="M328" s="188"/>
      <c r="N328" s="188"/>
      <c r="O328" s="188"/>
      <c r="P328" s="188"/>
      <c r="Q328" s="188"/>
      <c r="R328" s="189"/>
    </row>
    <row r="329" spans="1:18" ht="15.75" thickBot="1" x14ac:dyDescent="0.3">
      <c r="B329" s="147">
        <v>8204.8517901182349</v>
      </c>
      <c r="C329" s="243">
        <f t="shared" si="15"/>
        <v>67319592.897806406</v>
      </c>
      <c r="D329" s="210"/>
      <c r="E329" s="258">
        <f t="shared" si="16"/>
        <v>552347282297.59766</v>
      </c>
      <c r="F329" s="259"/>
      <c r="G329" s="243">
        <f t="shared" si="17"/>
        <v>4531927587926387</v>
      </c>
      <c r="H329" s="199"/>
      <c r="I329" s="210"/>
      <c r="L329" s="252" t="s">
        <v>207</v>
      </c>
      <c r="M329" s="253"/>
      <c r="N329" s="253"/>
      <c r="O329" s="253"/>
      <c r="P329" s="253"/>
      <c r="Q329" s="253"/>
      <c r="R329" s="254"/>
    </row>
    <row r="330" spans="1:18" ht="15.75" thickBot="1" x14ac:dyDescent="0.3">
      <c r="B330" s="148">
        <v>-2399.0517973510291</v>
      </c>
      <c r="C330" s="255">
        <f t="shared" si="15"/>
        <v>5755449.5263732029</v>
      </c>
      <c r="D330" s="215"/>
      <c r="E330" s="260">
        <f t="shared" si="16"/>
        <v>-13807621530.808762</v>
      </c>
      <c r="F330" s="261"/>
      <c r="G330" s="255">
        <f t="shared" si="17"/>
        <v>33125199250629.527</v>
      </c>
      <c r="H330" s="214"/>
      <c r="I330" s="215"/>
    </row>
    <row r="331" spans="1:18" ht="15.75" thickBot="1" x14ac:dyDescent="0.3">
      <c r="A331" s="166" t="s">
        <v>199</v>
      </c>
      <c r="B331" s="169">
        <f>SUM(B319:B330)</f>
        <v>-4903.8900000009708</v>
      </c>
      <c r="C331" s="263">
        <f>SUM(C319:D330)</f>
        <v>5374240951.5390596</v>
      </c>
      <c r="D331" s="264"/>
      <c r="E331" s="263">
        <f>SUM(E319:F330)</f>
        <v>-68461602397611.953</v>
      </c>
      <c r="F331" s="264"/>
      <c r="G331" s="263">
        <f>SUM(G319:I330)</f>
        <v>5.3888361441455555E+18</v>
      </c>
      <c r="H331" s="264"/>
      <c r="I331" s="265"/>
    </row>
    <row r="333" spans="1:18" ht="15.75" thickBot="1" x14ac:dyDescent="0.3"/>
    <row r="334" spans="1:18" ht="15.75" thickBot="1" x14ac:dyDescent="0.3">
      <c r="B334" s="192" t="s">
        <v>208</v>
      </c>
      <c r="C334" s="193"/>
      <c r="D334" s="193"/>
      <c r="E334" s="193"/>
      <c r="F334" s="193"/>
      <c r="G334" s="194"/>
    </row>
    <row r="335" spans="1:18" ht="15.75" thickBot="1" x14ac:dyDescent="0.3"/>
    <row r="336" spans="1:18" ht="15.75" thickBot="1" x14ac:dyDescent="0.3">
      <c r="B336" s="86" t="s">
        <v>41</v>
      </c>
      <c r="C336" s="113" t="s">
        <v>42</v>
      </c>
      <c r="D336" s="113" t="s">
        <v>43</v>
      </c>
      <c r="E336" s="113" t="s">
        <v>44</v>
      </c>
      <c r="F336" s="113" t="s">
        <v>45</v>
      </c>
      <c r="G336" s="114" t="s">
        <v>46</v>
      </c>
    </row>
    <row r="337" spans="2:19" x14ac:dyDescent="0.25">
      <c r="B337" s="167">
        <v>102.6</v>
      </c>
      <c r="C337" s="94">
        <v>3.86</v>
      </c>
      <c r="D337" s="94">
        <v>4.5599999999999996</v>
      </c>
      <c r="E337" s="94">
        <v>15.05</v>
      </c>
      <c r="F337" s="94">
        <v>0.27</v>
      </c>
      <c r="G337" s="170">
        <v>5.47</v>
      </c>
      <c r="I337" s="97"/>
      <c r="J337" s="97" t="s">
        <v>99</v>
      </c>
    </row>
    <row r="338" spans="2:19" x14ac:dyDescent="0.25">
      <c r="B338" s="158">
        <v>104.3</v>
      </c>
      <c r="C338" s="46">
        <v>4.32</v>
      </c>
      <c r="D338" s="46">
        <v>5.18</v>
      </c>
      <c r="E338" s="46">
        <v>16.91</v>
      </c>
      <c r="F338" s="4">
        <v>0.26</v>
      </c>
      <c r="G338" s="171">
        <v>5.56</v>
      </c>
      <c r="I338" t="s">
        <v>93</v>
      </c>
      <c r="J338">
        <v>85.494648396571463</v>
      </c>
      <c r="L338" s="20" t="s">
        <v>41</v>
      </c>
      <c r="M338" s="4">
        <v>1</v>
      </c>
    </row>
    <row r="339" spans="2:19" x14ac:dyDescent="0.25">
      <c r="B339" s="158">
        <v>103.7</v>
      </c>
      <c r="C339" s="46">
        <v>5.8</v>
      </c>
      <c r="D339" s="46">
        <v>6.5</v>
      </c>
      <c r="E339" s="46">
        <v>15.95</v>
      </c>
      <c r="F339" s="4">
        <v>0.41</v>
      </c>
      <c r="G339" s="171">
        <v>5.59</v>
      </c>
      <c r="I339" s="19" t="s">
        <v>42</v>
      </c>
      <c r="J339">
        <v>3.2464271130887097</v>
      </c>
      <c r="L339" s="21" t="s">
        <v>42</v>
      </c>
      <c r="M339" s="4">
        <v>0.38246168388220958</v>
      </c>
    </row>
    <row r="340" spans="2:19" x14ac:dyDescent="0.25">
      <c r="B340" s="158">
        <v>100.9</v>
      </c>
      <c r="C340" s="46">
        <v>5.72</v>
      </c>
      <c r="D340" s="46">
        <v>6.35</v>
      </c>
      <c r="E340" s="46">
        <v>17.23</v>
      </c>
      <c r="F340" s="4">
        <v>0.32</v>
      </c>
      <c r="G340" s="171">
        <v>5.7</v>
      </c>
      <c r="I340" s="19" t="s">
        <v>43</v>
      </c>
      <c r="J340">
        <v>-4.8020958156139431</v>
      </c>
      <c r="L340" s="21" t="s">
        <v>43</v>
      </c>
      <c r="M340" s="4">
        <v>0.35481392515026178</v>
      </c>
    </row>
    <row r="341" spans="2:19" x14ac:dyDescent="0.25">
      <c r="B341" s="158">
        <v>100</v>
      </c>
      <c r="C341" s="46">
        <v>5.17</v>
      </c>
      <c r="D341" s="46">
        <v>6.15</v>
      </c>
      <c r="E341" s="46">
        <v>17.05</v>
      </c>
      <c r="F341" s="4">
        <v>0.28999999999999998</v>
      </c>
      <c r="G341" s="171">
        <v>5.75</v>
      </c>
      <c r="I341" s="19" t="s">
        <v>44</v>
      </c>
      <c r="J341">
        <v>-0.12958686310136078</v>
      </c>
      <c r="L341" s="21" t="s">
        <v>44</v>
      </c>
      <c r="M341" s="4">
        <v>0.31346477275027296</v>
      </c>
    </row>
    <row r="342" spans="2:19" x14ac:dyDescent="0.25">
      <c r="B342" s="158">
        <v>99.1</v>
      </c>
      <c r="C342" s="46">
        <v>4.45</v>
      </c>
      <c r="D342" s="46">
        <v>5.72</v>
      </c>
      <c r="E342" s="46">
        <v>15.15</v>
      </c>
      <c r="F342" s="4">
        <v>0.3</v>
      </c>
      <c r="G342" s="171">
        <v>5.57</v>
      </c>
      <c r="I342" s="19" t="s">
        <v>45</v>
      </c>
      <c r="J342">
        <v>20.342141124576838</v>
      </c>
      <c r="L342" s="21" t="s">
        <v>45</v>
      </c>
      <c r="M342" s="4">
        <v>0.42873263774837389</v>
      </c>
    </row>
    <row r="343" spans="2:19" ht="15.75" thickBot="1" x14ac:dyDescent="0.3">
      <c r="B343" s="158">
        <v>99.4</v>
      </c>
      <c r="C343" s="46">
        <v>4.3600000000000003</v>
      </c>
      <c r="D343" s="46">
        <v>5.58</v>
      </c>
      <c r="E343" s="46">
        <v>16.190000000000001</v>
      </c>
      <c r="F343" s="4">
        <v>0.26</v>
      </c>
      <c r="G343" s="171">
        <v>5.52</v>
      </c>
      <c r="I343" s="152" t="s">
        <v>46</v>
      </c>
      <c r="J343" s="42">
        <v>4.2537157875496705</v>
      </c>
      <c r="L343" s="21" t="s">
        <v>46</v>
      </c>
      <c r="M343" s="4">
        <v>0.48679674056438443</v>
      </c>
    </row>
    <row r="344" spans="2:19" x14ac:dyDescent="0.25">
      <c r="B344" s="158">
        <v>102</v>
      </c>
      <c r="C344" s="46">
        <v>4.46</v>
      </c>
      <c r="D344" s="46">
        <v>6</v>
      </c>
      <c r="E344" s="46">
        <v>22.85</v>
      </c>
      <c r="F344" s="4">
        <v>0.35</v>
      </c>
      <c r="G344" s="171">
        <v>6.09</v>
      </c>
    </row>
    <row r="345" spans="2:19" x14ac:dyDescent="0.25">
      <c r="B345" s="158">
        <v>101.6</v>
      </c>
      <c r="C345" s="46">
        <v>4.5</v>
      </c>
      <c r="D345" s="46">
        <v>6.11</v>
      </c>
      <c r="E345" s="46">
        <v>23.89</v>
      </c>
      <c r="F345" s="4">
        <v>0.32</v>
      </c>
      <c r="G345" s="171">
        <v>6.64</v>
      </c>
      <c r="L345" s="19" t="s">
        <v>209</v>
      </c>
    </row>
    <row r="346" spans="2:19" ht="15.75" thickBot="1" x14ac:dyDescent="0.3">
      <c r="B346" s="158">
        <v>102.3</v>
      </c>
      <c r="C346" s="46">
        <v>5.17</v>
      </c>
      <c r="D346" s="46">
        <v>6.56</v>
      </c>
      <c r="E346" s="46">
        <v>21</v>
      </c>
      <c r="F346" s="4">
        <v>0.3</v>
      </c>
      <c r="G346" s="171">
        <v>6.86</v>
      </c>
    </row>
    <row r="347" spans="2:19" x14ac:dyDescent="0.25">
      <c r="B347" s="158">
        <v>103.4</v>
      </c>
      <c r="C347" s="46">
        <v>6.17</v>
      </c>
      <c r="D347" s="46">
        <v>7.78</v>
      </c>
      <c r="E347" s="46">
        <v>19.170000000000002</v>
      </c>
      <c r="F347" s="4">
        <v>0.32</v>
      </c>
      <c r="G347" s="171">
        <v>7.04</v>
      </c>
      <c r="L347" s="270" t="s">
        <v>211</v>
      </c>
      <c r="M347" s="271"/>
      <c r="N347" s="271"/>
      <c r="O347" s="271"/>
      <c r="P347" s="271"/>
      <c r="Q347" s="271"/>
      <c r="R347" s="271"/>
      <c r="S347" s="272"/>
    </row>
    <row r="348" spans="2:19" ht="15.75" thickBot="1" x14ac:dyDescent="0.3">
      <c r="B348" s="160">
        <v>105.1</v>
      </c>
      <c r="C348" s="172">
        <v>6.02</v>
      </c>
      <c r="D348" s="172">
        <v>7.6</v>
      </c>
      <c r="E348" s="172">
        <v>22.2</v>
      </c>
      <c r="F348" s="162">
        <v>0.37</v>
      </c>
      <c r="G348" s="173">
        <v>7.47</v>
      </c>
      <c r="L348" s="273" t="s">
        <v>212</v>
      </c>
      <c r="M348" s="274"/>
      <c r="N348" s="274"/>
      <c r="O348" s="274"/>
      <c r="P348" s="274"/>
      <c r="Q348" s="274"/>
      <c r="R348" s="274"/>
      <c r="S348" s="275"/>
    </row>
    <row r="351" spans="2:19" ht="15.75" thickBot="1" x14ac:dyDescent="0.3"/>
    <row r="352" spans="2:19" ht="15.75" thickBot="1" x14ac:dyDescent="0.3">
      <c r="B352" s="192" t="s">
        <v>213</v>
      </c>
      <c r="C352" s="193"/>
      <c r="D352" s="193"/>
      <c r="E352" s="193"/>
      <c r="F352" s="193"/>
      <c r="G352" s="193"/>
      <c r="H352" s="193"/>
      <c r="I352" s="194"/>
    </row>
    <row r="353" spans="2:10" ht="15.75" thickBot="1" x14ac:dyDescent="0.3"/>
    <row r="354" spans="2:10" ht="15.75" thickBot="1" x14ac:dyDescent="0.3">
      <c r="B354" s="86" t="s">
        <v>119</v>
      </c>
      <c r="C354" s="168" t="s">
        <v>214</v>
      </c>
      <c r="D354" s="114" t="s">
        <v>215</v>
      </c>
      <c r="F354" s="203" t="s">
        <v>216</v>
      </c>
      <c r="G354" s="188"/>
      <c r="H354" s="189"/>
      <c r="I354" s="103">
        <f>SUMSQ(D356:D366)</f>
        <v>14445797649.941059</v>
      </c>
    </row>
    <row r="355" spans="2:10" x14ac:dyDescent="0.25">
      <c r="B355" s="167">
        <v>-2972.191009898725</v>
      </c>
      <c r="C355" s="92"/>
      <c r="D355" s="176"/>
      <c r="F355" s="278" t="s">
        <v>217</v>
      </c>
      <c r="G355" s="279"/>
      <c r="H355" s="280"/>
      <c r="I355" s="105">
        <f>SUMSQ(B355:B366)</f>
        <v>5374240951.5390596</v>
      </c>
    </row>
    <row r="356" spans="2:10" x14ac:dyDescent="0.25">
      <c r="B356" s="158">
        <v>20323.939056555933</v>
      </c>
      <c r="C356" s="48">
        <v>-2972.191009898725</v>
      </c>
      <c r="D356" s="159">
        <f>B356-C356</f>
        <v>23296.130066454658</v>
      </c>
      <c r="F356" s="153"/>
      <c r="H356" s="105"/>
      <c r="I356" s="105"/>
    </row>
    <row r="357" spans="2:10" ht="15.75" thickBot="1" x14ac:dyDescent="0.3">
      <c r="B357" s="158">
        <v>-39569.362103036678</v>
      </c>
      <c r="C357" s="48">
        <v>20323.939056555933</v>
      </c>
      <c r="D357" s="159">
        <f t="shared" ref="D357:D366" si="18">B357-C357</f>
        <v>-59893.301159592607</v>
      </c>
      <c r="F357" s="252" t="s">
        <v>218</v>
      </c>
      <c r="G357" s="253"/>
      <c r="H357" s="254"/>
      <c r="I357" s="107">
        <f>I354/I355</f>
        <v>2.6879698510361938</v>
      </c>
    </row>
    <row r="358" spans="2:10" x14ac:dyDescent="0.25">
      <c r="B358" s="158">
        <v>28927.862781198837</v>
      </c>
      <c r="C358" s="48">
        <v>-39569.362103036678</v>
      </c>
      <c r="D358" s="159">
        <f t="shared" si="18"/>
        <v>68497.224884235518</v>
      </c>
    </row>
    <row r="359" spans="2:10" ht="15.75" thickBot="1" x14ac:dyDescent="0.3">
      <c r="B359" s="158">
        <v>16688.353524282691</v>
      </c>
      <c r="C359" s="48">
        <v>28927.862781198837</v>
      </c>
      <c r="D359" s="159">
        <f t="shared" si="18"/>
        <v>-12239.509256916146</v>
      </c>
    </row>
    <row r="360" spans="2:10" x14ac:dyDescent="0.25">
      <c r="B360" s="158">
        <v>-35222.375544694514</v>
      </c>
      <c r="C360" s="48">
        <v>16688.353524282691</v>
      </c>
      <c r="D360" s="159">
        <f t="shared" si="18"/>
        <v>-51910.729068977205</v>
      </c>
      <c r="F360" s="72" t="s">
        <v>116</v>
      </c>
      <c r="G360" s="103">
        <v>12</v>
      </c>
    </row>
    <row r="361" spans="2:10" ht="15.75" thickBot="1" x14ac:dyDescent="0.3">
      <c r="B361" s="158">
        <v>-1803.1710598196673</v>
      </c>
      <c r="C361" s="48">
        <v>-35222.375544694514</v>
      </c>
      <c r="D361" s="159">
        <f t="shared" si="18"/>
        <v>33419.204484874848</v>
      </c>
      <c r="F361" s="106" t="s">
        <v>115</v>
      </c>
      <c r="G361" s="107">
        <v>5</v>
      </c>
    </row>
    <row r="362" spans="2:10" ht="15.75" thickBot="1" x14ac:dyDescent="0.3">
      <c r="B362" s="158">
        <v>-21928.073792365118</v>
      </c>
      <c r="C362" s="48">
        <v>-1803.1710598196673</v>
      </c>
      <c r="D362" s="159">
        <f t="shared" si="18"/>
        <v>-20124.902732545452</v>
      </c>
      <c r="E362" s="100"/>
      <c r="F362" s="100"/>
      <c r="G362" s="100"/>
    </row>
    <row r="363" spans="2:10" x14ac:dyDescent="0.25">
      <c r="B363" s="158">
        <v>3343.5690077991544</v>
      </c>
      <c r="C363" s="48">
        <v>-21928.073792365118</v>
      </c>
      <c r="D363" s="159">
        <f t="shared" si="18"/>
        <v>25271.642800164271</v>
      </c>
      <c r="F363" s="72" t="s">
        <v>219</v>
      </c>
      <c r="G363" s="103">
        <v>0.37956000000000001</v>
      </c>
    </row>
    <row r="364" spans="2:10" x14ac:dyDescent="0.25">
      <c r="B364" s="158">
        <v>21501.759147209912</v>
      </c>
      <c r="C364" s="48">
        <v>3343.5690077991544</v>
      </c>
      <c r="D364" s="159">
        <f t="shared" si="18"/>
        <v>18158.190139410759</v>
      </c>
      <c r="F364" s="104" t="s">
        <v>220</v>
      </c>
      <c r="G364" s="105">
        <v>2.5060899999999999</v>
      </c>
    </row>
    <row r="365" spans="2:10" ht="15.75" thickBot="1" x14ac:dyDescent="0.3">
      <c r="B365" s="158">
        <v>8204.8517901182349</v>
      </c>
      <c r="C365" s="48">
        <v>21501.759147209912</v>
      </c>
      <c r="D365" s="159">
        <f t="shared" si="18"/>
        <v>-13296.907357091677</v>
      </c>
      <c r="F365" s="106" t="s">
        <v>223</v>
      </c>
      <c r="G365" s="107">
        <f>4-G364</f>
        <v>1.4939100000000001</v>
      </c>
    </row>
    <row r="366" spans="2:10" x14ac:dyDescent="0.25">
      <c r="B366" s="158">
        <v>-2399.0517973510291</v>
      </c>
      <c r="C366" s="48">
        <v>8204.8517901182349</v>
      </c>
      <c r="D366" s="159">
        <f t="shared" si="18"/>
        <v>-10603.903587469264</v>
      </c>
    </row>
    <row r="367" spans="2:10" ht="15.75" thickBot="1" x14ac:dyDescent="0.3">
      <c r="B367" s="174"/>
      <c r="C367" s="161">
        <v>-2399.0517973510291</v>
      </c>
      <c r="D367" s="175"/>
      <c r="E367" s="100"/>
      <c r="F367" s="100"/>
      <c r="G367" s="100"/>
      <c r="H367" s="100"/>
      <c r="I367" s="100"/>
      <c r="J367" s="100"/>
    </row>
    <row r="379" spans="2:14" x14ac:dyDescent="0.25">
      <c r="B379" s="100"/>
      <c r="C379" s="100"/>
      <c r="D379" s="100"/>
    </row>
    <row r="380" spans="2:14" ht="15.75" thickBot="1" x14ac:dyDescent="0.3"/>
    <row r="381" spans="2:14" ht="15.75" thickBot="1" x14ac:dyDescent="0.3">
      <c r="B381" s="192" t="s">
        <v>221</v>
      </c>
      <c r="C381" s="193"/>
      <c r="D381" s="193"/>
      <c r="E381" s="193"/>
      <c r="F381" s="193"/>
      <c r="G381" s="193"/>
      <c r="H381" s="193"/>
      <c r="I381" s="193"/>
      <c r="J381" s="193"/>
      <c r="K381" s="193"/>
      <c r="L381" s="193"/>
      <c r="M381" s="193"/>
      <c r="N381" s="194"/>
    </row>
    <row r="382" spans="2:14" ht="15.75" thickBot="1" x14ac:dyDescent="0.3">
      <c r="B382" s="192" t="s">
        <v>222</v>
      </c>
      <c r="C382" s="193"/>
      <c r="D382" s="193"/>
      <c r="E382" s="193"/>
      <c r="F382" s="193"/>
      <c r="G382" s="193"/>
      <c r="H382" s="193"/>
      <c r="I382" s="193"/>
      <c r="J382" s="193"/>
      <c r="K382" s="193"/>
      <c r="L382" s="193"/>
      <c r="M382" s="193"/>
      <c r="N382" s="194"/>
    </row>
  </sheetData>
  <mergeCells count="230">
    <mergeCell ref="B382:N382"/>
    <mergeCell ref="B381:N381"/>
    <mergeCell ref="L347:S347"/>
    <mergeCell ref="L348:S348"/>
    <mergeCell ref="P213:Q213"/>
    <mergeCell ref="F354:H354"/>
    <mergeCell ref="F357:H357"/>
    <mergeCell ref="F355:H355"/>
    <mergeCell ref="B352:I352"/>
    <mergeCell ref="L328:R328"/>
    <mergeCell ref="L329:R329"/>
    <mergeCell ref="N319:R319"/>
    <mergeCell ref="B316:I316"/>
    <mergeCell ref="B334:G334"/>
    <mergeCell ref="N320:R320"/>
    <mergeCell ref="N321:R321"/>
    <mergeCell ref="N322:R322"/>
    <mergeCell ref="N323:R323"/>
    <mergeCell ref="N324:R324"/>
    <mergeCell ref="N325:R325"/>
    <mergeCell ref="L323:M323"/>
    <mergeCell ref="L324:M324"/>
    <mergeCell ref="L325:M325"/>
    <mergeCell ref="N318:R318"/>
    <mergeCell ref="L318:M318"/>
    <mergeCell ref="L319:M319"/>
    <mergeCell ref="L320:M320"/>
    <mergeCell ref="L321:M321"/>
    <mergeCell ref="L322:M322"/>
    <mergeCell ref="G329:I329"/>
    <mergeCell ref="G330:I330"/>
    <mergeCell ref="C331:D331"/>
    <mergeCell ref="E331:F331"/>
    <mergeCell ref="G331:I331"/>
    <mergeCell ref="G318:I318"/>
    <mergeCell ref="G319:I319"/>
    <mergeCell ref="G320:I320"/>
    <mergeCell ref="G321:I321"/>
    <mergeCell ref="G322:I322"/>
    <mergeCell ref="G323:I323"/>
    <mergeCell ref="G324:I324"/>
    <mergeCell ref="G325:I325"/>
    <mergeCell ref="G326:I326"/>
    <mergeCell ref="G327:I327"/>
    <mergeCell ref="G328:I328"/>
    <mergeCell ref="E318:F318"/>
    <mergeCell ref="C328:D328"/>
    <mergeCell ref="C329:D329"/>
    <mergeCell ref="C330:D330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C323:D323"/>
    <mergeCell ref="C324:D324"/>
    <mergeCell ref="C325:D325"/>
    <mergeCell ref="C326:D326"/>
    <mergeCell ref="C327:D327"/>
    <mergeCell ref="C318:D318"/>
    <mergeCell ref="C319:D319"/>
    <mergeCell ref="C320:D320"/>
    <mergeCell ref="C321:D321"/>
    <mergeCell ref="C322:D322"/>
    <mergeCell ref="G309:H309"/>
    <mergeCell ref="I309:J309"/>
    <mergeCell ref="G311:J311"/>
    <mergeCell ref="G312:J312"/>
    <mergeCell ref="I303:J303"/>
    <mergeCell ref="I304:J304"/>
    <mergeCell ref="I307:J307"/>
    <mergeCell ref="G303:H303"/>
    <mergeCell ref="G304:H304"/>
    <mergeCell ref="G307:H307"/>
    <mergeCell ref="G305:H305"/>
    <mergeCell ref="I305:J305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287:K287"/>
    <mergeCell ref="M273:O273"/>
    <mergeCell ref="M274:O274"/>
    <mergeCell ref="P266:Q266"/>
    <mergeCell ref="P267:Q267"/>
    <mergeCell ref="P268:Q268"/>
    <mergeCell ref="P269:Q269"/>
    <mergeCell ref="P270:Q270"/>
    <mergeCell ref="P271:Q271"/>
    <mergeCell ref="P272:Q272"/>
    <mergeCell ref="P273:Q273"/>
    <mergeCell ref="P274:Q274"/>
    <mergeCell ref="J272:K272"/>
    <mergeCell ref="J266:K266"/>
    <mergeCell ref="M266:O266"/>
    <mergeCell ref="M267:O267"/>
    <mergeCell ref="M268:O268"/>
    <mergeCell ref="M269:O269"/>
    <mergeCell ref="M270:O270"/>
    <mergeCell ref="B284:K284"/>
    <mergeCell ref="M272:O272"/>
    <mergeCell ref="J267:K267"/>
    <mergeCell ref="J268:K268"/>
    <mergeCell ref="J269:K269"/>
    <mergeCell ref="J270:K270"/>
    <mergeCell ref="J271:K271"/>
    <mergeCell ref="C277:D277"/>
    <mergeCell ref="C278:D278"/>
    <mergeCell ref="H267:I267"/>
    <mergeCell ref="H268:I268"/>
    <mergeCell ref="H269:I269"/>
    <mergeCell ref="H270:I270"/>
    <mergeCell ref="H271:I271"/>
    <mergeCell ref="H272:I272"/>
    <mergeCell ref="C272:D272"/>
    <mergeCell ref="C273:D273"/>
    <mergeCell ref="C274:D274"/>
    <mergeCell ref="C275:D275"/>
    <mergeCell ref="C276:D276"/>
    <mergeCell ref="C267:D267"/>
    <mergeCell ref="C268:D268"/>
    <mergeCell ref="C269:D269"/>
    <mergeCell ref="C270:D270"/>
    <mergeCell ref="M276:Q276"/>
    <mergeCell ref="C271:D271"/>
    <mergeCell ref="D226:F226"/>
    <mergeCell ref="B217:G217"/>
    <mergeCell ref="K218:M218"/>
    <mergeCell ref="K219:M219"/>
    <mergeCell ref="B237:C237"/>
    <mergeCell ref="D237:E237"/>
    <mergeCell ref="F237:G237"/>
    <mergeCell ref="H237:I237"/>
    <mergeCell ref="J237:K237"/>
    <mergeCell ref="B235:K235"/>
    <mergeCell ref="M271:O271"/>
    <mergeCell ref="B263:K263"/>
    <mergeCell ref="C266:D266"/>
    <mergeCell ref="D229:G229"/>
    <mergeCell ref="H266:I266"/>
    <mergeCell ref="N214:O214"/>
    <mergeCell ref="T198:V198"/>
    <mergeCell ref="B16:M16"/>
    <mergeCell ref="D220:F220"/>
    <mergeCell ref="D223:F223"/>
    <mergeCell ref="K212:L212"/>
    <mergeCell ref="K213:L213"/>
    <mergeCell ref="K214:L214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9:O209"/>
    <mergeCell ref="N210:O210"/>
    <mergeCell ref="N211:O211"/>
    <mergeCell ref="N212:O212"/>
    <mergeCell ref="N213:O213"/>
    <mergeCell ref="K207:L207"/>
    <mergeCell ref="K208:L208"/>
    <mergeCell ref="K209:L209"/>
    <mergeCell ref="K210:L210"/>
    <mergeCell ref="K211:L211"/>
    <mergeCell ref="K202:L202"/>
    <mergeCell ref="K203:L203"/>
    <mergeCell ref="K204:L204"/>
    <mergeCell ref="K205:L205"/>
    <mergeCell ref="K206:L206"/>
    <mergeCell ref="M150:T150"/>
    <mergeCell ref="B198:M198"/>
    <mergeCell ref="K200:L200"/>
    <mergeCell ref="K201:L201"/>
    <mergeCell ref="H80:L80"/>
    <mergeCell ref="H81:L81"/>
    <mergeCell ref="H82:L82"/>
    <mergeCell ref="H83:L83"/>
    <mergeCell ref="H84:L84"/>
    <mergeCell ref="H75:L75"/>
    <mergeCell ref="H76:L76"/>
    <mergeCell ref="H77:L77"/>
    <mergeCell ref="H78:L78"/>
    <mergeCell ref="H79:L79"/>
    <mergeCell ref="B101:I101"/>
    <mergeCell ref="K145:L145"/>
    <mergeCell ref="H90:L90"/>
    <mergeCell ref="H91:L91"/>
    <mergeCell ref="H92:L92"/>
    <mergeCell ref="H93:L93"/>
    <mergeCell ref="H94:L94"/>
    <mergeCell ref="H85:L85"/>
    <mergeCell ref="H86:L86"/>
    <mergeCell ref="H87:L87"/>
    <mergeCell ref="H88:L88"/>
    <mergeCell ref="H89:L89"/>
    <mergeCell ref="H69:L69"/>
    <mergeCell ref="H70:L70"/>
    <mergeCell ref="H71:L71"/>
    <mergeCell ref="H72:L72"/>
    <mergeCell ref="H73:L73"/>
    <mergeCell ref="H74:L74"/>
    <mergeCell ref="A1:A3"/>
    <mergeCell ref="B1:M1"/>
    <mergeCell ref="C63:G63"/>
    <mergeCell ref="H63:L63"/>
    <mergeCell ref="H64:L64"/>
    <mergeCell ref="H65:L65"/>
    <mergeCell ref="H66:L66"/>
    <mergeCell ref="H67:L67"/>
    <mergeCell ref="H68:L68"/>
    <mergeCell ref="B50:H50"/>
    <mergeCell ref="B61:L61"/>
  </mergeCells>
  <phoneticPr fontId="6" type="noConversion"/>
  <conditionalFormatting sqref="B221:B232">
    <cfRule type="cellIs" dxfId="14" priority="11" operator="greaterThan">
      <formula>0</formula>
    </cfRule>
  </conditionalFormatting>
  <conditionalFormatting sqref="B267:B278">
    <cfRule type="cellIs" dxfId="13" priority="10" operator="greaterThan">
      <formula>0</formula>
    </cfRule>
  </conditionalFormatting>
  <conditionalFormatting sqref="B319:B330">
    <cfRule type="cellIs" dxfId="12" priority="3" operator="greaterThan">
      <formula>0</formula>
    </cfRule>
  </conditionalFormatting>
  <conditionalFormatting sqref="B355:B366">
    <cfRule type="cellIs" dxfId="11" priority="2" operator="greaterThan">
      <formula>0</formula>
    </cfRule>
  </conditionalFormatting>
  <conditionalFormatting sqref="C356:C367">
    <cfRule type="cellIs" dxfId="10" priority="1" operator="greaterThan">
      <formula>0</formula>
    </cfRule>
  </conditionalFormatting>
  <conditionalFormatting sqref="C288:D299">
    <cfRule type="cellIs" dxfId="9" priority="6" operator="greaterThan">
      <formula>0</formula>
    </cfRule>
  </conditionalFormatting>
  <conditionalFormatting sqref="D32:L32">
    <cfRule type="cellIs" dxfId="8" priority="15" operator="greaterThan">
      <formula>$O$5:$O$14&gt;$P$4</formula>
    </cfRule>
  </conditionalFormatting>
  <conditionalFormatting sqref="D32:M32">
    <cfRule type="cellIs" dxfId="7" priority="12" operator="lessThan">
      <formula>$C$32</formula>
    </cfRule>
    <cfRule type="cellIs" dxfId="6" priority="13" operator="lessThan">
      <formula>$P$4</formula>
    </cfRule>
    <cfRule type="cellIs" dxfId="5" priority="14" operator="greaterThan">
      <formula>$P$4</formula>
    </cfRule>
  </conditionalFormatting>
  <conditionalFormatting sqref="F267:G272">
    <cfRule type="cellIs" dxfId="4" priority="8" operator="greaterThan">
      <formula>0</formula>
    </cfRule>
  </conditionalFormatting>
  <conditionalFormatting sqref="F288:G293">
    <cfRule type="cellIs" dxfId="3" priority="4" operator="greaterThan">
      <formula>0</formula>
    </cfRule>
  </conditionalFormatting>
  <conditionalFormatting sqref="P5:P13">
    <cfRule type="cellIs" dxfId="2" priority="18" operator="greaterThan">
      <formula>$O$5:$O$14&gt;$P$4</formula>
    </cfRule>
  </conditionalFormatting>
  <conditionalFormatting sqref="P5:P14">
    <cfRule type="cellIs" dxfId="1" priority="16" operator="lessThan">
      <formula>$P$4</formula>
    </cfRule>
    <cfRule type="cellIs" dxfId="0" priority="17" operator="greaterThan">
      <formula>$P$4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OPIS</vt:lpstr>
      <vt:lpstr>TABLICA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ADEK</dc:creator>
  <cp:lastModifiedBy>ADEK</cp:lastModifiedBy>
  <dcterms:created xsi:type="dcterms:W3CDTF">2023-02-06T21:48:58Z</dcterms:created>
  <dcterms:modified xsi:type="dcterms:W3CDTF">2023-06-30T20:31:42Z</dcterms:modified>
</cp:coreProperties>
</file>